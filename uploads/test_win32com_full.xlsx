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ISES\Desktop\luxo7.7\LUXO\uploads\"/>
    </mc:Choice>
  </mc:AlternateContent>
  <bookViews>
    <workbookView xWindow="-105" yWindow="-105" windowWidth="23250" windowHeight="12450" firstSheet="10" activeTab="10"/>
  </bookViews>
  <sheets>
    <sheet name="DOMINGO" sheetId="1" r:id="rId1"/>
    <sheet name="PLAN.ACCIÓN_D" sheetId="3" r:id="rId2"/>
    <sheet name="LUNES" sheetId="20" r:id="rId3"/>
    <sheet name="PLAN.ACCIÓN_L" sheetId="26" r:id="rId4"/>
    <sheet name="MARTES" sheetId="22" r:id="rId5"/>
    <sheet name="PLAN.ACCIÓN_MA" sheetId="27" r:id="rId6"/>
    <sheet name="MIÉRCOLES" sheetId="23" r:id="rId7"/>
    <sheet name="PLAN.ACCIÓN_MI" sheetId="28" r:id="rId8"/>
    <sheet name="JUEVES" sheetId="24" r:id="rId9"/>
    <sheet name="PLAN.ACCIÓN_J" sheetId="29" r:id="rId10"/>
    <sheet name="VIERNES" sheetId="25" r:id="rId11"/>
    <sheet name="PLAN.ACCIÓN_V" sheetId="30" r:id="rId12"/>
    <sheet name="SÁBADO" sheetId="21" r:id="rId13"/>
    <sheet name="PLAN.ACCIÓN_S" sheetId="31" r:id="rId14"/>
    <sheet name="SEMANAL" sheetId="12" r:id="rId15"/>
  </sheets>
  <definedNames>
    <definedName name="Print_Area" localSheetId="0">DOMINGO!$A$1:$Q$41</definedName>
    <definedName name="Print_Area" localSheetId="8">JUEVES!$A$1:$Q$41</definedName>
    <definedName name="Print_Area" localSheetId="2">LUNES!$A$1:$Q$41</definedName>
    <definedName name="Print_Area" localSheetId="4">MARTES!$A$1:$Q$41</definedName>
    <definedName name="Print_Area" localSheetId="6">MIÉRCOLES!$A$1:$Q$41</definedName>
    <definedName name="Print_Area" localSheetId="12">SÁBADO!$A$1:$Q$41</definedName>
    <definedName name="Print_Area" localSheetId="10">VIERNES!$A$1:$Q$41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8" i="23"/>
  <c r="J6" i="23" s="1"/>
  <c r="J7" i="23"/>
  <c r="C5" i="31"/>
  <c r="C5" i="30"/>
  <c r="C5" i="29"/>
  <c r="C5" i="28"/>
  <c r="C5" i="27"/>
  <c r="C5" i="26"/>
  <c r="M29" i="12"/>
  <c r="H29" i="12"/>
  <c r="L30" i="1"/>
  <c r="C30" i="12"/>
  <c r="C31" i="12"/>
  <c r="C32" i="12"/>
  <c r="C37" i="12" s="1"/>
  <c r="C33" i="12"/>
  <c r="C34" i="12"/>
  <c r="C35" i="12"/>
  <c r="C36" i="12"/>
  <c r="C29" i="12"/>
  <c r="A30" i="12"/>
  <c r="A31" i="12"/>
  <c r="A32" i="12"/>
  <c r="A33" i="12"/>
  <c r="A34" i="12"/>
  <c r="A35" i="12"/>
  <c r="A36" i="12"/>
  <c r="A29" i="12"/>
  <c r="O37" i="12"/>
  <c r="K26" i="12" s="1"/>
  <c r="N37" i="12"/>
  <c r="L37" i="12"/>
  <c r="M37" i="12" s="1"/>
  <c r="K37" i="12"/>
  <c r="J37" i="12"/>
  <c r="I37" i="12"/>
  <c r="G37" i="12"/>
  <c r="F37" i="12"/>
  <c r="H37" i="12" s="1"/>
  <c r="E37" i="12"/>
  <c r="D37" i="12"/>
  <c r="M36" i="12"/>
  <c r="H36" i="12"/>
  <c r="M35" i="12"/>
  <c r="H35" i="12"/>
  <c r="M34" i="12"/>
  <c r="H34" i="12"/>
  <c r="M33" i="12"/>
  <c r="H33" i="12"/>
  <c r="M32" i="12"/>
  <c r="H32" i="12"/>
  <c r="M31" i="12"/>
  <c r="H31" i="12"/>
  <c r="M30" i="12"/>
  <c r="H30" i="12"/>
  <c r="E26" i="12"/>
  <c r="F5" i="12"/>
  <c r="H16" i="12"/>
  <c r="I16" i="12"/>
  <c r="H17" i="12"/>
  <c r="I17" i="12"/>
  <c r="H18" i="12"/>
  <c r="I18" i="12"/>
  <c r="H19" i="12"/>
  <c r="I19" i="12"/>
  <c r="I20" i="12" l="1"/>
  <c r="H20" i="12"/>
  <c r="G20" i="12"/>
  <c r="D20" i="12"/>
  <c r="F7" i="12"/>
  <c r="C5" i="12"/>
  <c r="C26" i="12" s="1"/>
  <c r="G26" i="12" s="1"/>
  <c r="H26" i="12" s="1"/>
  <c r="P41" i="25"/>
  <c r="O41" i="25"/>
  <c r="M41" i="25"/>
  <c r="N41" i="25" s="1"/>
  <c r="L41" i="25"/>
  <c r="K41" i="25"/>
  <c r="J41" i="25"/>
  <c r="H41" i="25"/>
  <c r="G41" i="25"/>
  <c r="F41" i="25"/>
  <c r="E41" i="25"/>
  <c r="I41" i="25" s="1"/>
  <c r="N40" i="25"/>
  <c r="I40" i="25"/>
  <c r="D40" i="25"/>
  <c r="B40" i="25"/>
  <c r="N39" i="25"/>
  <c r="I39" i="25"/>
  <c r="D39" i="25"/>
  <c r="B39" i="25"/>
  <c r="N38" i="25"/>
  <c r="I38" i="25"/>
  <c r="D38" i="25"/>
  <c r="B38" i="25"/>
  <c r="N37" i="25"/>
  <c r="I37" i="25"/>
  <c r="D37" i="25"/>
  <c r="B37" i="25"/>
  <c r="N36" i="25"/>
  <c r="I36" i="25"/>
  <c r="D36" i="25"/>
  <c r="B36" i="25"/>
  <c r="N35" i="25"/>
  <c r="I35" i="25"/>
  <c r="D35" i="25"/>
  <c r="B35" i="25"/>
  <c r="N34" i="25"/>
  <c r="I34" i="25"/>
  <c r="D34" i="25"/>
  <c r="B34" i="25"/>
  <c r="N33" i="25"/>
  <c r="I33" i="25"/>
  <c r="D33" i="25"/>
  <c r="D41" i="25" s="1"/>
  <c r="B33" i="25"/>
  <c r="L30" i="25"/>
  <c r="D30" i="25"/>
  <c r="G25" i="25"/>
  <c r="D25" i="25"/>
  <c r="E17" i="25" s="1"/>
  <c r="I24" i="25"/>
  <c r="H24" i="25"/>
  <c r="I23" i="25"/>
  <c r="H23" i="25"/>
  <c r="E23" i="25"/>
  <c r="I22" i="25"/>
  <c r="H22" i="25"/>
  <c r="I21" i="25"/>
  <c r="H21" i="25"/>
  <c r="H12" i="25"/>
  <c r="E13" i="25" s="1"/>
  <c r="E14" i="25" s="1"/>
  <c r="F8" i="25"/>
  <c r="C8" i="25"/>
  <c r="F30" i="25" s="1"/>
  <c r="F7" i="25"/>
  <c r="C7" i="25"/>
  <c r="C6" i="25"/>
  <c r="J5" i="25"/>
  <c r="P41" i="24"/>
  <c r="O41" i="24"/>
  <c r="M41" i="24"/>
  <c r="N41" i="24" s="1"/>
  <c r="L41" i="24"/>
  <c r="K41" i="24"/>
  <c r="J41" i="24"/>
  <c r="H41" i="24"/>
  <c r="G41" i="24"/>
  <c r="F41" i="24"/>
  <c r="E41" i="24"/>
  <c r="I41" i="24" s="1"/>
  <c r="D41" i="24"/>
  <c r="N40" i="24"/>
  <c r="I40" i="24"/>
  <c r="D40" i="24"/>
  <c r="B40" i="24"/>
  <c r="N39" i="24"/>
  <c r="I39" i="24"/>
  <c r="D39" i="24"/>
  <c r="B39" i="24"/>
  <c r="N38" i="24"/>
  <c r="I38" i="24"/>
  <c r="D38" i="24"/>
  <c r="B38" i="24"/>
  <c r="N37" i="24"/>
  <c r="I37" i="24"/>
  <c r="D37" i="24"/>
  <c r="B37" i="24"/>
  <c r="N36" i="24"/>
  <c r="I36" i="24"/>
  <c r="D36" i="24"/>
  <c r="B36" i="24"/>
  <c r="N35" i="24"/>
  <c r="I35" i="24"/>
  <c r="D35" i="24"/>
  <c r="B35" i="24"/>
  <c r="N34" i="24"/>
  <c r="I34" i="24"/>
  <c r="D34" i="24"/>
  <c r="B34" i="24"/>
  <c r="N33" i="24"/>
  <c r="I33" i="24"/>
  <c r="D33" i="24"/>
  <c r="B33" i="24"/>
  <c r="L30" i="24"/>
  <c r="D30" i="24"/>
  <c r="G25" i="24"/>
  <c r="D25" i="24"/>
  <c r="I24" i="24"/>
  <c r="H24" i="24"/>
  <c r="E24" i="24"/>
  <c r="I23" i="24"/>
  <c r="H23" i="24"/>
  <c r="E23" i="24"/>
  <c r="I22" i="24"/>
  <c r="H22" i="24"/>
  <c r="E22" i="24"/>
  <c r="I21" i="24"/>
  <c r="H21" i="24"/>
  <c r="E21" i="24"/>
  <c r="E20" i="24"/>
  <c r="E19" i="24"/>
  <c r="E18" i="24"/>
  <c r="E17" i="24"/>
  <c r="E25" i="24" s="1"/>
  <c r="G13" i="24"/>
  <c r="G14" i="24" s="1"/>
  <c r="H12" i="24"/>
  <c r="E13" i="24" s="1"/>
  <c r="E14" i="24" s="1"/>
  <c r="F8" i="24"/>
  <c r="C8" i="24"/>
  <c r="F30" i="24" s="1"/>
  <c r="F7" i="24"/>
  <c r="C7" i="24"/>
  <c r="C6" i="24"/>
  <c r="M5" i="24"/>
  <c r="J5" i="24"/>
  <c r="P41" i="23"/>
  <c r="O41" i="23"/>
  <c r="M41" i="23"/>
  <c r="N41" i="23" s="1"/>
  <c r="L41" i="23"/>
  <c r="K41" i="23"/>
  <c r="J41" i="23"/>
  <c r="I41" i="23"/>
  <c r="H41" i="23"/>
  <c r="G41" i="23"/>
  <c r="F41" i="23"/>
  <c r="E41" i="23"/>
  <c r="N40" i="23"/>
  <c r="I40" i="23"/>
  <c r="D40" i="23"/>
  <c r="B40" i="23"/>
  <c r="N39" i="23"/>
  <c r="I39" i="23"/>
  <c r="D39" i="23"/>
  <c r="B39" i="23"/>
  <c r="N38" i="23"/>
  <c r="I38" i="23"/>
  <c r="D38" i="23"/>
  <c r="B38" i="23"/>
  <c r="N37" i="23"/>
  <c r="I37" i="23"/>
  <c r="D37" i="23"/>
  <c r="B37" i="23"/>
  <c r="N36" i="23"/>
  <c r="I36" i="23"/>
  <c r="D36" i="23"/>
  <c r="B36" i="23"/>
  <c r="N35" i="23"/>
  <c r="I35" i="23"/>
  <c r="D35" i="23"/>
  <c r="B35" i="23"/>
  <c r="N34" i="23"/>
  <c r="I34" i="23"/>
  <c r="D34" i="23"/>
  <c r="B34" i="23"/>
  <c r="N33" i="23"/>
  <c r="I33" i="23"/>
  <c r="D33" i="23"/>
  <c r="B33" i="23"/>
  <c r="L30" i="23"/>
  <c r="H30" i="23"/>
  <c r="I30" i="23" s="1"/>
  <c r="D30" i="23"/>
  <c r="G25" i="23"/>
  <c r="D25" i="23"/>
  <c r="E22" i="23" s="1"/>
  <c r="I24" i="23"/>
  <c r="H24" i="23"/>
  <c r="I23" i="23"/>
  <c r="H23" i="23"/>
  <c r="E23" i="23"/>
  <c r="I22" i="23"/>
  <c r="H22" i="23"/>
  <c r="I21" i="23"/>
  <c r="H21" i="23"/>
  <c r="H12" i="23"/>
  <c r="E13" i="23" s="1"/>
  <c r="E14" i="23" s="1"/>
  <c r="F8" i="23"/>
  <c r="F30" i="23"/>
  <c r="F7" i="23"/>
  <c r="C7" i="23"/>
  <c r="C6" i="23"/>
  <c r="J5" i="23"/>
  <c r="F17" i="23" s="1"/>
  <c r="P41" i="22"/>
  <c r="O41" i="22"/>
  <c r="M41" i="22"/>
  <c r="N41" i="22" s="1"/>
  <c r="L41" i="22"/>
  <c r="K41" i="22"/>
  <c r="J41" i="22"/>
  <c r="I41" i="22"/>
  <c r="H41" i="22"/>
  <c r="G41" i="22"/>
  <c r="F41" i="22"/>
  <c r="E41" i="22"/>
  <c r="N40" i="22"/>
  <c r="I40" i="22"/>
  <c r="D40" i="22"/>
  <c r="B40" i="22"/>
  <c r="N39" i="22"/>
  <c r="I39" i="22"/>
  <c r="D39" i="22"/>
  <c r="B39" i="22"/>
  <c r="N38" i="22"/>
  <c r="I38" i="22"/>
  <c r="D38" i="22"/>
  <c r="B38" i="22"/>
  <c r="N37" i="22"/>
  <c r="I37" i="22"/>
  <c r="D37" i="22"/>
  <c r="B37" i="22"/>
  <c r="N36" i="22"/>
  <c r="I36" i="22"/>
  <c r="D36" i="22"/>
  <c r="B36" i="22"/>
  <c r="N35" i="22"/>
  <c r="I35" i="22"/>
  <c r="D35" i="22"/>
  <c r="B35" i="22"/>
  <c r="N34" i="22"/>
  <c r="I34" i="22"/>
  <c r="D34" i="22"/>
  <c r="D41" i="22" s="1"/>
  <c r="B34" i="22"/>
  <c r="N33" i="22"/>
  <c r="I33" i="22"/>
  <c r="D33" i="22"/>
  <c r="B33" i="22"/>
  <c r="L30" i="22"/>
  <c r="H30" i="22"/>
  <c r="I30" i="22" s="1"/>
  <c r="D30" i="22"/>
  <c r="G25" i="22"/>
  <c r="D25" i="22"/>
  <c r="E22" i="22" s="1"/>
  <c r="I24" i="22"/>
  <c r="H24" i="22"/>
  <c r="I23" i="22"/>
  <c r="H23" i="22"/>
  <c r="E23" i="22"/>
  <c r="I22" i="22"/>
  <c r="H22" i="22"/>
  <c r="I21" i="22"/>
  <c r="H21" i="22"/>
  <c r="E21" i="22"/>
  <c r="E19" i="22"/>
  <c r="E17" i="22"/>
  <c r="F13" i="22"/>
  <c r="F14" i="22" s="1"/>
  <c r="H12" i="22"/>
  <c r="E13" i="22" s="1"/>
  <c r="E14" i="22" s="1"/>
  <c r="F8" i="22"/>
  <c r="C8" i="22"/>
  <c r="F30" i="22" s="1"/>
  <c r="F7" i="22"/>
  <c r="C7" i="22"/>
  <c r="C6" i="22"/>
  <c r="J5" i="22"/>
  <c r="P41" i="21"/>
  <c r="O41" i="21"/>
  <c r="M41" i="21"/>
  <c r="N41" i="21" s="1"/>
  <c r="L41" i="21"/>
  <c r="K41" i="21"/>
  <c r="J41" i="21"/>
  <c r="H41" i="21"/>
  <c r="G41" i="21"/>
  <c r="F41" i="21"/>
  <c r="E41" i="21"/>
  <c r="I41" i="21" s="1"/>
  <c r="D41" i="21"/>
  <c r="N40" i="21"/>
  <c r="I40" i="21"/>
  <c r="D40" i="21"/>
  <c r="B40" i="21"/>
  <c r="N39" i="21"/>
  <c r="I39" i="21"/>
  <c r="D39" i="21"/>
  <c r="B39" i="21"/>
  <c r="N38" i="21"/>
  <c r="I38" i="21"/>
  <c r="D38" i="21"/>
  <c r="B38" i="21"/>
  <c r="N37" i="21"/>
  <c r="I37" i="21"/>
  <c r="D37" i="21"/>
  <c r="B37" i="21"/>
  <c r="N36" i="21"/>
  <c r="I36" i="21"/>
  <c r="D36" i="21"/>
  <c r="B36" i="21"/>
  <c r="N35" i="21"/>
  <c r="I35" i="21"/>
  <c r="D35" i="21"/>
  <c r="B35" i="21"/>
  <c r="N34" i="21"/>
  <c r="I34" i="21"/>
  <c r="D34" i="21"/>
  <c r="B34" i="21"/>
  <c r="N33" i="21"/>
  <c r="I33" i="21"/>
  <c r="D33" i="21"/>
  <c r="B33" i="21"/>
  <c r="L30" i="21"/>
  <c r="D30" i="21"/>
  <c r="G25" i="21"/>
  <c r="D25" i="21"/>
  <c r="I24" i="21"/>
  <c r="H24" i="21"/>
  <c r="E24" i="21"/>
  <c r="I23" i="21"/>
  <c r="H23" i="21"/>
  <c r="E23" i="21"/>
  <c r="I22" i="21"/>
  <c r="H22" i="21"/>
  <c r="E22" i="21"/>
  <c r="I21" i="21"/>
  <c r="H21" i="21"/>
  <c r="E21" i="21"/>
  <c r="E20" i="21"/>
  <c r="E19" i="21"/>
  <c r="E18" i="21"/>
  <c r="E17" i="21"/>
  <c r="E25" i="21" s="1"/>
  <c r="G13" i="21"/>
  <c r="G14" i="21" s="1"/>
  <c r="H12" i="21"/>
  <c r="E13" i="21" s="1"/>
  <c r="E14" i="21" s="1"/>
  <c r="F8" i="21"/>
  <c r="C8" i="21"/>
  <c r="F30" i="21" s="1"/>
  <c r="F7" i="21"/>
  <c r="C7" i="21"/>
  <c r="C6" i="21"/>
  <c r="M5" i="21"/>
  <c r="J5" i="21"/>
  <c r="P41" i="20"/>
  <c r="O41" i="20"/>
  <c r="M41" i="20"/>
  <c r="N41" i="20" s="1"/>
  <c r="L41" i="20"/>
  <c r="K41" i="20"/>
  <c r="J41" i="20"/>
  <c r="H41" i="20"/>
  <c r="G41" i="20"/>
  <c r="I41" i="20" s="1"/>
  <c r="F41" i="20"/>
  <c r="E41" i="20"/>
  <c r="D41" i="20"/>
  <c r="N40" i="20"/>
  <c r="I40" i="20"/>
  <c r="D40" i="20"/>
  <c r="B40" i="20"/>
  <c r="N39" i="20"/>
  <c r="I39" i="20"/>
  <c r="D39" i="20"/>
  <c r="B39" i="20"/>
  <c r="N38" i="20"/>
  <c r="I38" i="20"/>
  <c r="D38" i="20"/>
  <c r="B38" i="20"/>
  <c r="N37" i="20"/>
  <c r="I37" i="20"/>
  <c r="D37" i="20"/>
  <c r="B37" i="20"/>
  <c r="N36" i="20"/>
  <c r="I36" i="20"/>
  <c r="D36" i="20"/>
  <c r="B36" i="20"/>
  <c r="N35" i="20"/>
  <c r="I35" i="20"/>
  <c r="D35" i="20"/>
  <c r="B35" i="20"/>
  <c r="N34" i="20"/>
  <c r="I34" i="20"/>
  <c r="D34" i="20"/>
  <c r="B34" i="20"/>
  <c r="N33" i="20"/>
  <c r="I33" i="20"/>
  <c r="D33" i="20"/>
  <c r="B33" i="20"/>
  <c r="L30" i="20"/>
  <c r="D30" i="20"/>
  <c r="G25" i="20"/>
  <c r="D25" i="20"/>
  <c r="E24" i="20" s="1"/>
  <c r="I24" i="20"/>
  <c r="H24" i="20"/>
  <c r="I23" i="20"/>
  <c r="H23" i="20"/>
  <c r="E23" i="20"/>
  <c r="I22" i="20"/>
  <c r="H22" i="20"/>
  <c r="I21" i="20"/>
  <c r="H21" i="20"/>
  <c r="E21" i="20"/>
  <c r="E19" i="20"/>
  <c r="E17" i="20"/>
  <c r="F13" i="20"/>
  <c r="F14" i="20" s="1"/>
  <c r="E13" i="20"/>
  <c r="E14" i="20" s="1"/>
  <c r="H12" i="20"/>
  <c r="D13" i="20" s="1"/>
  <c r="D14" i="20" s="1"/>
  <c r="F8" i="20"/>
  <c r="C8" i="20"/>
  <c r="F30" i="20" s="1"/>
  <c r="F7" i="20"/>
  <c r="C7" i="20"/>
  <c r="C6" i="20"/>
  <c r="M5" i="20"/>
  <c r="J5" i="20"/>
  <c r="F19" i="21" l="1"/>
  <c r="F23" i="21"/>
  <c r="J7" i="21"/>
  <c r="I20" i="21" s="1"/>
  <c r="F17" i="21"/>
  <c r="F25" i="21" s="1"/>
  <c r="F21" i="21"/>
  <c r="F19" i="24"/>
  <c r="F23" i="24"/>
  <c r="J7" i="24"/>
  <c r="I20" i="24" s="1"/>
  <c r="F17" i="24"/>
  <c r="F25" i="24" s="1"/>
  <c r="F21" i="24"/>
  <c r="J7" i="22"/>
  <c r="I20" i="22" s="1"/>
  <c r="J7" i="25"/>
  <c r="I20" i="25" s="1"/>
  <c r="F17" i="25"/>
  <c r="F23" i="25"/>
  <c r="E18" i="25"/>
  <c r="E24" i="25"/>
  <c r="E19" i="25"/>
  <c r="F19" i="25"/>
  <c r="E20" i="25"/>
  <c r="M5" i="25"/>
  <c r="E21" i="25"/>
  <c r="F21" i="25"/>
  <c r="E22" i="25"/>
  <c r="G13" i="25"/>
  <c r="G14" i="25" s="1"/>
  <c r="E17" i="23"/>
  <c r="E19" i="23"/>
  <c r="E21" i="23"/>
  <c r="D41" i="23"/>
  <c r="F13" i="23"/>
  <c r="F14" i="23" s="1"/>
  <c r="G13" i="23"/>
  <c r="G14" i="23" s="1"/>
  <c r="I20" i="23"/>
  <c r="E12" i="12"/>
  <c r="E19" i="12"/>
  <c r="E17" i="12"/>
  <c r="E18" i="12"/>
  <c r="F8" i="12"/>
  <c r="E16" i="12"/>
  <c r="E15" i="12"/>
  <c r="D5" i="31"/>
  <c r="D5" i="26"/>
  <c r="D5" i="28"/>
  <c r="D5" i="30"/>
  <c r="D5" i="27"/>
  <c r="D5" i="29"/>
  <c r="E14" i="12"/>
  <c r="C8" i="12"/>
  <c r="E13" i="12"/>
  <c r="F13" i="25"/>
  <c r="F14" i="25" s="1"/>
  <c r="H30" i="25"/>
  <c r="I30" i="25" s="1"/>
  <c r="I17" i="25"/>
  <c r="J6" i="25"/>
  <c r="C13" i="25"/>
  <c r="C14" i="25" s="1"/>
  <c r="F18" i="25"/>
  <c r="F20" i="25"/>
  <c r="F22" i="25"/>
  <c r="F24" i="25"/>
  <c r="M6" i="25"/>
  <c r="D13" i="25"/>
  <c r="D14" i="25" s="1"/>
  <c r="I19" i="25"/>
  <c r="F13" i="24"/>
  <c r="F14" i="24" s="1"/>
  <c r="H30" i="24"/>
  <c r="I30" i="24" s="1"/>
  <c r="I17" i="24"/>
  <c r="J6" i="24"/>
  <c r="C13" i="24"/>
  <c r="C14" i="24" s="1"/>
  <c r="H14" i="24" s="1"/>
  <c r="F18" i="24"/>
  <c r="F20" i="24"/>
  <c r="F22" i="24"/>
  <c r="F24" i="24"/>
  <c r="I25" i="24"/>
  <c r="M6" i="24"/>
  <c r="D13" i="24"/>
  <c r="D14" i="24" s="1"/>
  <c r="I19" i="24"/>
  <c r="I18" i="24"/>
  <c r="F21" i="23"/>
  <c r="M5" i="23"/>
  <c r="I17" i="23"/>
  <c r="I19" i="23"/>
  <c r="E18" i="23"/>
  <c r="E24" i="23"/>
  <c r="C13" i="23"/>
  <c r="C14" i="23" s="1"/>
  <c r="H14" i="23" s="1"/>
  <c r="F18" i="23"/>
  <c r="F20" i="23"/>
  <c r="F22" i="23"/>
  <c r="F24" i="23"/>
  <c r="I25" i="23"/>
  <c r="F23" i="23"/>
  <c r="E20" i="23"/>
  <c r="M6" i="23"/>
  <c r="D13" i="23"/>
  <c r="D14" i="23" s="1"/>
  <c r="F19" i="23"/>
  <c r="I18" i="23"/>
  <c r="G13" i="22"/>
  <c r="G14" i="22" s="1"/>
  <c r="F17" i="22"/>
  <c r="F25" i="22" s="1"/>
  <c r="F19" i="22"/>
  <c r="F21" i="22"/>
  <c r="F23" i="22"/>
  <c r="E20" i="22"/>
  <c r="E24" i="22"/>
  <c r="J6" i="22"/>
  <c r="C13" i="22"/>
  <c r="C14" i="22" s="1"/>
  <c r="H14" i="22" s="1"/>
  <c r="F18" i="22"/>
  <c r="F20" i="22"/>
  <c r="F22" i="22"/>
  <c r="F24" i="22"/>
  <c r="I25" i="22"/>
  <c r="I17" i="22"/>
  <c r="M6" i="22"/>
  <c r="D13" i="22"/>
  <c r="D14" i="22" s="1"/>
  <c r="M5" i="22"/>
  <c r="I19" i="22"/>
  <c r="E18" i="22"/>
  <c r="E25" i="22" s="1"/>
  <c r="I18" i="22"/>
  <c r="F13" i="21"/>
  <c r="F14" i="21" s="1"/>
  <c r="H30" i="21"/>
  <c r="I30" i="21" s="1"/>
  <c r="I17" i="21"/>
  <c r="J6" i="21"/>
  <c r="C13" i="21"/>
  <c r="C14" i="21" s="1"/>
  <c r="H14" i="21" s="1"/>
  <c r="F18" i="21"/>
  <c r="F20" i="21"/>
  <c r="F22" i="21"/>
  <c r="F24" i="21"/>
  <c r="I25" i="21"/>
  <c r="I19" i="21"/>
  <c r="M6" i="21"/>
  <c r="D13" i="21"/>
  <c r="D14" i="21" s="1"/>
  <c r="I18" i="21"/>
  <c r="H30" i="20"/>
  <c r="I30" i="20" s="1"/>
  <c r="J7" i="20"/>
  <c r="G13" i="20"/>
  <c r="G14" i="20" s="1"/>
  <c r="F17" i="20"/>
  <c r="F19" i="20"/>
  <c r="F21" i="20"/>
  <c r="F23" i="20"/>
  <c r="E18" i="20"/>
  <c r="E20" i="20"/>
  <c r="E22" i="20"/>
  <c r="J6" i="20"/>
  <c r="C13" i="20"/>
  <c r="C14" i="20" s="1"/>
  <c r="H14" i="20" s="1"/>
  <c r="F18" i="20"/>
  <c r="F20" i="20"/>
  <c r="F22" i="20"/>
  <c r="F24" i="20"/>
  <c r="M6" i="20"/>
  <c r="F8" i="1"/>
  <c r="F7" i="1"/>
  <c r="P41" i="1"/>
  <c r="O41" i="1"/>
  <c r="M41" i="1"/>
  <c r="L41" i="1"/>
  <c r="K41" i="1"/>
  <c r="J41" i="1"/>
  <c r="H41" i="1"/>
  <c r="G41" i="1"/>
  <c r="F41" i="1"/>
  <c r="E41" i="1"/>
  <c r="G25" i="1"/>
  <c r="N34" i="1"/>
  <c r="N35" i="1"/>
  <c r="N36" i="1"/>
  <c r="N37" i="1"/>
  <c r="N38" i="1"/>
  <c r="N39" i="1"/>
  <c r="N40" i="1"/>
  <c r="N33" i="1"/>
  <c r="I34" i="1"/>
  <c r="I35" i="1"/>
  <c r="I36" i="1"/>
  <c r="I37" i="1"/>
  <c r="I38" i="1"/>
  <c r="I39" i="1"/>
  <c r="I40" i="1"/>
  <c r="I33" i="1"/>
  <c r="C6" i="1"/>
  <c r="C6" i="12" s="1"/>
  <c r="C7" i="1"/>
  <c r="I18" i="25" l="1"/>
  <c r="I25" i="25"/>
  <c r="F25" i="23"/>
  <c r="E25" i="20"/>
  <c r="E25" i="25"/>
  <c r="F25" i="25"/>
  <c r="H14" i="25"/>
  <c r="E25" i="23"/>
  <c r="J7" i="12"/>
  <c r="J6" i="12"/>
  <c r="J5" i="1"/>
  <c r="C7" i="12"/>
  <c r="J5" i="12" s="1"/>
  <c r="F13" i="12" s="1"/>
  <c r="E20" i="12"/>
  <c r="H25" i="25"/>
  <c r="H20" i="25"/>
  <c r="H18" i="25"/>
  <c r="H17" i="25"/>
  <c r="H19" i="25"/>
  <c r="H20" i="24"/>
  <c r="H18" i="24"/>
  <c r="H17" i="24"/>
  <c r="H19" i="24"/>
  <c r="H25" i="24"/>
  <c r="H20" i="23"/>
  <c r="H18" i="23"/>
  <c r="H25" i="23"/>
  <c r="H19" i="23"/>
  <c r="H17" i="23"/>
  <c r="H25" i="22"/>
  <c r="H20" i="22"/>
  <c r="H18" i="22"/>
  <c r="H19" i="22"/>
  <c r="H17" i="22"/>
  <c r="H25" i="21"/>
  <c r="H19" i="21"/>
  <c r="H20" i="21"/>
  <c r="H18" i="21"/>
  <c r="H17" i="21"/>
  <c r="H19" i="20"/>
  <c r="H20" i="20"/>
  <c r="H18" i="20"/>
  <c r="H25" i="20"/>
  <c r="H17" i="20"/>
  <c r="I20" i="20"/>
  <c r="I18" i="20"/>
  <c r="I17" i="20"/>
  <c r="I19" i="20"/>
  <c r="I25" i="20"/>
  <c r="F25" i="20"/>
  <c r="I41" i="1"/>
  <c r="N41" i="1"/>
  <c r="H30" i="1"/>
  <c r="I30" i="1" s="1"/>
  <c r="C5" i="3"/>
  <c r="I24" i="1"/>
  <c r="H24" i="1"/>
  <c r="H12" i="1"/>
  <c r="C13" i="1" s="1"/>
  <c r="H12" i="12" l="1"/>
  <c r="H14" i="12"/>
  <c r="H13" i="12"/>
  <c r="H15" i="12"/>
  <c r="F12" i="12"/>
  <c r="F16" i="12"/>
  <c r="F15" i="12"/>
  <c r="I12" i="12"/>
  <c r="I13" i="12"/>
  <c r="I14" i="12"/>
  <c r="I15" i="12"/>
  <c r="F19" i="12"/>
  <c r="F18" i="12"/>
  <c r="F17" i="12"/>
  <c r="F14" i="12"/>
  <c r="D30" i="1"/>
  <c r="C14" i="1"/>
  <c r="J6" i="1"/>
  <c r="D25" i="1"/>
  <c r="B33" i="1"/>
  <c r="D33" i="1"/>
  <c r="B34" i="1"/>
  <c r="D34" i="1"/>
  <c r="B35" i="1"/>
  <c r="D35" i="1"/>
  <c r="B36" i="1"/>
  <c r="D36" i="1"/>
  <c r="B37" i="1"/>
  <c r="D37" i="1"/>
  <c r="B38" i="1"/>
  <c r="D38" i="1"/>
  <c r="B39" i="1"/>
  <c r="D39" i="1"/>
  <c r="B40" i="1"/>
  <c r="D40" i="1"/>
  <c r="B5" i="31" l="1"/>
  <c r="B5" i="26"/>
  <c r="B5" i="30"/>
  <c r="B5" i="29"/>
  <c r="B5" i="28"/>
  <c r="B5" i="27"/>
  <c r="F21" i="1"/>
  <c r="F17" i="1"/>
  <c r="F20" i="12"/>
  <c r="M5" i="1"/>
  <c r="E5" i="3" s="1"/>
  <c r="D41" i="1"/>
  <c r="F18" i="1"/>
  <c r="F22" i="1"/>
  <c r="F20" i="1"/>
  <c r="F19" i="1"/>
  <c r="F24" i="1"/>
  <c r="F23" i="1"/>
  <c r="J7" i="1"/>
  <c r="I23" i="1"/>
  <c r="H23" i="1"/>
  <c r="D5" i="3"/>
  <c r="H21" i="1"/>
  <c r="I22" i="1"/>
  <c r="M6" i="1"/>
  <c r="B5" i="3"/>
  <c r="E22" i="1"/>
  <c r="F30" i="1"/>
  <c r="E19" i="1"/>
  <c r="E20" i="1"/>
  <c r="E24" i="1"/>
  <c r="E21" i="1"/>
  <c r="E18" i="1"/>
  <c r="E23" i="1"/>
  <c r="E17" i="1"/>
  <c r="G13" i="1"/>
  <c r="G14" i="1" s="1"/>
  <c r="D13" i="1"/>
  <c r="D14" i="1" s="1"/>
  <c r="E13" i="1"/>
  <c r="E14" i="1" s="1"/>
  <c r="F13" i="1"/>
  <c r="F14" i="1" s="1"/>
  <c r="F5" i="31" l="1"/>
  <c r="F5" i="28"/>
  <c r="F5" i="30"/>
  <c r="F5" i="27"/>
  <c r="F5" i="29"/>
  <c r="F5" i="26"/>
  <c r="E5" i="26"/>
  <c r="E5" i="31"/>
  <c r="E5" i="28"/>
  <c r="E5" i="30"/>
  <c r="E5" i="27"/>
  <c r="E5" i="29"/>
  <c r="F5" i="3"/>
  <c r="H18" i="1"/>
  <c r="I21" i="1"/>
  <c r="F25" i="1"/>
  <c r="H22" i="1"/>
  <c r="H19" i="1"/>
  <c r="H25" i="1"/>
  <c r="H17" i="1"/>
  <c r="H20" i="1"/>
  <c r="I19" i="1"/>
  <c r="I20" i="1"/>
  <c r="I17" i="1"/>
  <c r="I25" i="1"/>
  <c r="I18" i="1"/>
  <c r="H14" i="1"/>
  <c r="E25" i="1"/>
</calcChain>
</file>

<file path=xl/sharedStrings.xml><?xml version="1.0" encoding="utf-8"?>
<sst xmlns="http://schemas.openxmlformats.org/spreadsheetml/2006/main" count="1025" uniqueCount="136">
  <si>
    <t>TOTAL</t>
  </si>
  <si>
    <t>SLP</t>
  </si>
  <si>
    <t>ATV</t>
  </si>
  <si>
    <t>WEARABLES</t>
  </si>
  <si>
    <t>KIDS</t>
  </si>
  <si>
    <t>CAREKITS</t>
  </si>
  <si>
    <t>AUR</t>
  </si>
  <si>
    <t>SLP
EOD</t>
  </si>
  <si>
    <t>WEARABLES %</t>
  </si>
  <si>
    <t>CAREKITS%</t>
  </si>
  <si>
    <t>KIDS%</t>
  </si>
  <si>
    <t>ONESIGHT</t>
  </si>
  <si>
    <t>ENFOQUE DIARIO! - Nuestra meta</t>
  </si>
  <si>
    <t>Semana:</t>
  </si>
  <si>
    <t>Día:</t>
  </si>
  <si>
    <t>¿QÚE ESPERAMOS LOGRAR HOY?</t>
  </si>
  <si>
    <t>META DEL DÍA</t>
  </si>
  <si>
    <t>ANÁLOGOS</t>
  </si>
  <si>
    <t>TOTAL DE UNIDADES</t>
  </si>
  <si>
    <t>CONVERSIÓN (NO NEGOCIABLE)</t>
  </si>
  <si>
    <t>META DE CONVERSIÓN (LY+1P.P)</t>
  </si>
  <si>
    <t>META TRANSACCIONES</t>
  </si>
  <si>
    <t>OTROS NO NEGOCIABLES</t>
  </si>
  <si>
    <t>UNIDADES</t>
  </si>
  <si>
    <t>META DE PRODUCTIVIDAD</t>
  </si>
  <si>
    <t>VENTA NETA (NS)</t>
  </si>
  <si>
    <t>CAPTURA LOS VALORES ACUMULADOS DEL MES (MTD)</t>
  </si>
  <si>
    <t>TRÁFICO POR HORA</t>
  </si>
  <si>
    <t>PESO DEL TRÁFICO (%)</t>
  </si>
  <si>
    <t>META (NS) X HORA</t>
  </si>
  <si>
    <t>APERTURA-1pm</t>
  </si>
  <si>
    <t>1pm - 3pm</t>
  </si>
  <si>
    <t>3pm-5pm</t>
  </si>
  <si>
    <t>COLABORADORES</t>
  </si>
  <si>
    <t>HORAS PROGRAMADAS</t>
  </si>
  <si>
    <t>META DE VENTA</t>
  </si>
  <si>
    <t>WEARABLES 
POR VENDER</t>
  </si>
  <si>
    <t>KIDS
POR VENDER</t>
  </si>
  <si>
    <t>CK 
POR VENDER</t>
  </si>
  <si>
    <t>¿CÓMO VAMOS?</t>
  </si>
  <si>
    <t>VENTA NETA</t>
  </si>
  <si>
    <t>META</t>
  </si>
  <si>
    <t>META UNIDADES</t>
  </si>
  <si>
    <t>VENTA UNIDADES</t>
  </si>
  <si>
    <t>CONVERSION (%)</t>
  </si>
  <si>
    <t>CRECIMIENTO CONVERSION (%)</t>
  </si>
  <si>
    <t>TOTAL DEL DÍA</t>
  </si>
  <si>
    <t>COLABORADOR</t>
  </si>
  <si>
    <t>INTERACCIONES DURANTE EL DÍA</t>
  </si>
  <si>
    <t>CLIENTES CONVERTIDOS DURANTE EL DÍA</t>
  </si>
  <si>
    <t>CONVERSION
AL CIERRE</t>
  </si>
  <si>
    <t>VENTA NETA
AL CIERRE</t>
  </si>
  <si>
    <t>UNIDADES ANALOGAS 
AL CIERRE</t>
  </si>
  <si>
    <t>KIDS
AL CIERRE</t>
  </si>
  <si>
    <t>CAREKITS
AL CIERRE</t>
  </si>
  <si>
    <t>TRÁFICO ESPERADO</t>
  </si>
  <si>
    <t>LAS CELDAS EN COLOR VERDE SE LLENAN AUTOMÁTICAMENTE</t>
  </si>
  <si>
    <t>COMP LY</t>
  </si>
  <si>
    <t>ANALOGOS 
POR VENDER</t>
  </si>
  <si>
    <t>ENFOQUE DIARIO! - Nuestro plan de acción</t>
  </si>
  <si>
    <t>¿QÚE ESPERAMOS PARA EL DÍA DE HOY?</t>
  </si>
  <si>
    <t>META (NS)</t>
  </si>
  <si>
    <t>META PIEZAS</t>
  </si>
  <si>
    <t>META (NS) PRODUCTIVIDAD</t>
  </si>
  <si>
    <t>META UNIDADES PRODUCTIVIDAD</t>
  </si>
  <si>
    <t>NUESTROS ESTÁNDARES</t>
  </si>
  <si>
    <t>NUESTROS NO NEGOCIABLES</t>
  </si>
  <si>
    <t>CUSTOMER JOURNEY</t>
  </si>
  <si>
    <t>TU ENFOQUE PARA HOY</t>
  </si>
  <si>
    <t>LOGROS DE HOY Y OPORTUNIDADES PARA MAÑANA</t>
  </si>
  <si>
    <r>
      <rPr>
        <b/>
        <sz val="10"/>
        <color theme="1"/>
        <rFont val="Aptos Narrow"/>
        <family val="2"/>
        <scheme val="minor"/>
      </rPr>
      <t xml:space="preserve">EL SEGUIMIENTO ES FUNDAMENTAL
</t>
    </r>
    <r>
      <rPr>
        <sz val="10"/>
        <color theme="1"/>
        <rFont val="Aptos Narrow"/>
        <family val="2"/>
        <scheme val="minor"/>
      </rPr>
      <t>Durante todo el día da seguimiento al desempeño de cada colaborador. El Store Dashboard es la principal herramienta para monitorear resultados, impulsar el desempeño y reaccionar oportunamente cuando las ventas sean lentas.</t>
    </r>
  </si>
  <si>
    <r>
      <rPr>
        <b/>
        <sz val="10"/>
        <color theme="1"/>
        <rFont val="Aptos Narrow"/>
        <family val="2"/>
        <scheme val="minor"/>
      </rPr>
      <t>LIMPIEZA DE LA TIENDA</t>
    </r>
    <r>
      <rPr>
        <sz val="10"/>
        <color theme="1"/>
        <rFont val="Aptos Narrow"/>
        <family val="2"/>
        <scheme val="minor"/>
      </rPr>
      <t xml:space="preserve">
Barre, limpia y desinfecta. Asegúrate de que la tienda luzca impecable. Pon especial atención al piso de ventas, aparadores, espejos, mobiliario, puerta de acceso, baño y almacén.</t>
    </r>
  </si>
  <si>
    <r>
      <rPr>
        <b/>
        <sz val="10"/>
        <color theme="1"/>
        <rFont val="Aptos Narrow"/>
        <family val="2"/>
        <scheme val="minor"/>
      </rPr>
      <t xml:space="preserve">SIN USO DE TELÉFONOS CELULARES
</t>
    </r>
    <r>
      <rPr>
        <sz val="10"/>
        <color theme="1"/>
        <rFont val="Aptos Narrow"/>
        <family val="2"/>
        <scheme val="minor"/>
      </rPr>
      <t>Evita el uso del teléfono personal durante la jornada laboral. La navegación, publicaciones y mensajes personales deben realizarse fuera del horario de trabajo.</t>
    </r>
  </si>
  <si>
    <t>¿Cuál debe ser nuestro ritmo de venta hoy?</t>
  </si>
  <si>
    <r>
      <rPr>
        <b/>
        <sz val="10"/>
        <color theme="1"/>
        <rFont val="Aptos Narrow"/>
        <family val="2"/>
        <scheme val="minor"/>
      </rPr>
      <t>AJUSTE PERFECTO</t>
    </r>
    <r>
      <rPr>
        <sz val="10"/>
        <color theme="1"/>
        <rFont val="Aptos Narrow"/>
        <family val="2"/>
        <scheme val="minor"/>
      </rPr>
      <t xml:space="preserve">
Un cliente se siente mucho más satisfecho cuando sus lentes quedan perfectamente ajustados. Dedica el tiempo necesario para lograr un ajuste cómodo y personalizado.</t>
    </r>
  </si>
  <si>
    <t>VENTA NETA LY (NS)</t>
  </si>
  <si>
    <t>Tienda:</t>
  </si>
  <si>
    <t>*Si las unidades dan como resultado menor a cero, el objetivo será mínimo una unidad.</t>
  </si>
  <si>
    <r>
      <rPr>
        <b/>
        <sz val="10"/>
        <color theme="1"/>
        <rFont val="Aptos Narrow"/>
        <family val="2"/>
        <scheme val="minor"/>
      </rPr>
      <t>IMAGEN PERSONAL</t>
    </r>
    <r>
      <rPr>
        <sz val="10"/>
        <color theme="1"/>
        <rFont val="Aptos Narrow"/>
        <family val="2"/>
        <scheme val="minor"/>
      </rPr>
      <t xml:space="preserve">
Somos embajadores de la marca, por lo que nuestra imagen debe reflejar los valores de Sunglass Hut.</t>
    </r>
  </si>
  <si>
    <r>
      <rPr>
        <b/>
        <sz val="10"/>
        <color theme="1"/>
        <rFont val="Aptos Narrow"/>
        <family val="2"/>
        <scheme val="minor"/>
      </rPr>
      <t>REÚNETE CON EL EQUIPO</t>
    </r>
    <r>
      <rPr>
        <sz val="10"/>
        <color theme="1"/>
        <rFont val="Aptos Narrow"/>
        <family val="2"/>
        <scheme val="minor"/>
      </rPr>
      <t xml:space="preserve">
La junta matutina es clave para tener un gran día. Asegúrate de comunicar: Cómo vamos en la semana y en el mes. La meta del día y las acciones clave para alcanzarla.</t>
    </r>
  </si>
  <si>
    <r>
      <t xml:space="preserve">RECORDATORIO DE ENTRADA Y SALIDA
</t>
    </r>
    <r>
      <rPr>
        <sz val="10"/>
        <color theme="1"/>
        <rFont val="Aptos Narrow"/>
        <family val="2"/>
        <scheme val="minor"/>
      </rPr>
      <t>Al iniciar el día, recuerda al equipo registrar su entrada y, al finalizar su turno, registrar su salida. La precisión de estos registros impacta directamente en los indicadores de productividad.</t>
    </r>
  </si>
  <si>
    <r>
      <rPr>
        <b/>
        <sz val="10"/>
        <color theme="1"/>
        <rFont val="Aptos Narrow"/>
        <family val="2"/>
        <scheme val="minor"/>
      </rPr>
      <t xml:space="preserve">MANTENTE FUERA DE LA CAJA Y RESPETA TU ZONA (si aplica)
</t>
    </r>
    <r>
      <rPr>
        <sz val="10"/>
        <color theme="1"/>
        <rFont val="Aptos Narrow"/>
        <family val="2"/>
        <scheme val="minor"/>
      </rPr>
      <t>A menos que estés realizando una venta en caja, evita permanecer detrás del mostrador. Si tienes una zona asignada, respétala. Mantén una actitud positiva y utiliza tu energía para atraer clientes a la tienda.</t>
    </r>
  </si>
  <si>
    <t>META DIARIA</t>
  </si>
  <si>
    <t>META IDEAL (NS)*</t>
  </si>
  <si>
    <t>5pm-7pm</t>
  </si>
  <si>
    <t>7pm-CIERRE</t>
  </si>
  <si>
    <t>CONVERSION WEREABLE</t>
  </si>
  <si>
    <r>
      <rPr>
        <b/>
        <sz val="10"/>
        <color theme="1"/>
        <rFont val="Aptos Narrow"/>
        <family val="2"/>
        <scheme val="minor"/>
      </rPr>
      <t>PULIR ES PODER</t>
    </r>
    <r>
      <rPr>
        <sz val="10"/>
        <color theme="1"/>
        <rFont val="Aptos Narrow"/>
        <family val="2"/>
        <scheme val="minor"/>
      </rPr>
      <t xml:space="preserve">
Tu paño de limpieza es una herramienta para generar conexión con el cliente y demostrar el valor del producto. Ofrece limpiar sus lentes al iniciar la conversación para crear una experiencia positiva desde el primer contacto.</t>
    </r>
  </si>
  <si>
    <r>
      <rPr>
        <b/>
        <sz val="10"/>
        <color theme="1"/>
        <rFont val="Aptos Narrow"/>
        <family val="2"/>
        <scheme val="minor"/>
      </rPr>
      <t>PÓNTELOS</t>
    </r>
    <r>
      <rPr>
        <sz val="10"/>
        <color theme="1"/>
        <rFont val="Aptos Narrow"/>
        <family val="2"/>
        <scheme val="minor"/>
      </rPr>
      <t xml:space="preserve">
Cuando el cliente se prueba los productos, aumenta su interés y la intención de compra. Utiliza la bandeja de exhibición para ayudarle a comparar opciones e invítalo a probar diferentes modelos hasta encontrar el ideal.</t>
    </r>
  </si>
  <si>
    <r>
      <rPr>
        <b/>
        <sz val="10"/>
        <color theme="1"/>
        <rFont val="Aptos Narrow"/>
        <family val="2"/>
        <scheme val="minor"/>
      </rPr>
      <t>DIVIÉRTETE MÁS</t>
    </r>
    <r>
      <rPr>
        <sz val="10"/>
        <color theme="1"/>
        <rFont val="Aptos Narrow"/>
        <family val="2"/>
        <scheme val="minor"/>
      </rPr>
      <t xml:space="preserve">
La venta no termina con el primer par. Aprovecha la oportunidad para mostrar tres o cuatro opciones adicionales y aumentar las posibilidades de realizar una venta múltiple.</t>
    </r>
  </si>
  <si>
    <r>
      <rPr>
        <b/>
        <sz val="10"/>
        <color theme="1"/>
        <rFont val="Aptos Narrow"/>
        <family val="2"/>
        <scheme val="minor"/>
      </rPr>
      <t>CUIDALOS</t>
    </r>
    <r>
      <rPr>
        <sz val="10"/>
        <color theme="1"/>
        <rFont val="Aptos Narrow"/>
        <family val="2"/>
        <scheme val="minor"/>
      </rPr>
      <t xml:space="preserve">
Enseñar al cliente cómo cuidar sus lentes mejora su experiencia y fortalece tu papel como asesor especializado.</t>
    </r>
  </si>
  <si>
    <t xml:space="preserve">*Si tienes adeudo en la semana puedes ajustar la meta ideal </t>
  </si>
  <si>
    <t>ENFOQUE SEMANAL</t>
  </si>
  <si>
    <t>ELIAS</t>
  </si>
  <si>
    <t>CATALINA</t>
  </si>
  <si>
    <t>VICTOR</t>
  </si>
  <si>
    <t>JIMENA</t>
  </si>
  <si>
    <t>Además de cumplir con la meta diaria de la tienda para los No Negociables, cada colaborador debe procurar vender durante su turno al menos:
1 armazón Kids
1 CareKit</t>
  </si>
  <si>
    <t>LOS CINCO SECRETOS / BRANDIES</t>
  </si>
  <si>
    <t>UNIDADES WEARABLES 
AL CIERRE</t>
  </si>
  <si>
    <t>DEMOSTRACIONES WEARABLES 
AL CIERRE</t>
  </si>
  <si>
    <t>EMPIEZA UNA RELACION</t>
  </si>
  <si>
    <t>INTERACTÚA Y RELACIONA</t>
  </si>
  <si>
    <t>Observa al cliente y adapta tu acercamiento.</t>
  </si>
  <si>
    <t>GÁNATE SU CONFIANZA</t>
  </si>
  <si>
    <t>DESCUBRE Y APRENDE</t>
  </si>
  <si>
    <r>
      <t xml:space="preserve">Da la bienvenida </t>
    </r>
    <r>
      <rPr>
        <b/>
        <sz val="10"/>
        <color theme="1"/>
        <rFont val="Aptos Narrow"/>
        <scheme val="minor"/>
      </rPr>
      <t>genuinamente</t>
    </r>
    <r>
      <rPr>
        <sz val="10"/>
        <color theme="1"/>
        <rFont val="Aptos Narrow"/>
        <family val="2"/>
        <scheme val="minor"/>
      </rPr>
      <t>.</t>
    </r>
  </si>
  <si>
    <r>
      <t xml:space="preserve">Ofrécete a </t>
    </r>
    <r>
      <rPr>
        <b/>
        <sz val="10"/>
        <color theme="1"/>
        <rFont val="Aptos Narrow"/>
        <scheme val="minor"/>
      </rPr>
      <t>limpiar y ajustar</t>
    </r>
    <r>
      <rPr>
        <sz val="10"/>
        <color theme="1"/>
        <rFont val="Aptos Narrow"/>
        <family val="2"/>
        <scheme val="minor"/>
      </rPr>
      <t xml:space="preserve"> sus gafas.</t>
    </r>
  </si>
  <si>
    <r>
      <t xml:space="preserve">Descubre el </t>
    </r>
    <r>
      <rPr>
        <b/>
        <sz val="10"/>
        <color theme="1"/>
        <rFont val="Aptos Narrow"/>
        <scheme val="minor"/>
      </rPr>
      <t>próposito</t>
    </r>
    <r>
      <rPr>
        <sz val="10"/>
        <color theme="1"/>
        <rFont val="Aptos Narrow"/>
        <family val="2"/>
        <scheme val="minor"/>
      </rPr>
      <t xml:space="preserve"> de la visita.</t>
    </r>
  </si>
  <si>
    <r>
      <t xml:space="preserve">Presenta </t>
    </r>
    <r>
      <rPr>
        <b/>
        <sz val="10"/>
        <color theme="1"/>
        <rFont val="Aptos Narrow"/>
        <scheme val="minor"/>
      </rPr>
      <t>Wearables, Smart Shopper y las novedades</t>
    </r>
    <r>
      <rPr>
        <sz val="10"/>
        <color theme="1"/>
        <rFont val="Aptos Narrow"/>
        <family val="2"/>
        <scheme val="minor"/>
      </rPr>
      <t>.</t>
    </r>
  </si>
  <si>
    <r>
      <t xml:space="preserve">Identifica </t>
    </r>
    <r>
      <rPr>
        <b/>
        <sz val="10"/>
        <color theme="1"/>
        <rFont val="Aptos Narrow"/>
        <scheme val="minor"/>
      </rPr>
      <t>necesidades</t>
    </r>
    <r>
      <rPr>
        <sz val="10"/>
        <color theme="1"/>
        <rFont val="Aptos Narrow"/>
        <family val="2"/>
        <scheme val="minor"/>
      </rPr>
      <t xml:space="preserve"> (emocional/racional).</t>
    </r>
  </si>
  <si>
    <r>
      <t xml:space="preserve">Haz </t>
    </r>
    <r>
      <rPr>
        <b/>
        <sz val="9"/>
        <color theme="1"/>
        <rFont val="Aptos Narrow"/>
        <scheme val="minor"/>
      </rPr>
      <t>preguntas abiertas</t>
    </r>
    <r>
      <rPr>
        <sz val="9"/>
        <color theme="1"/>
        <rFont val="Aptos Narrow"/>
        <family val="2"/>
        <scheme val="minor"/>
      </rPr>
      <t>, escucha.</t>
    </r>
  </si>
  <si>
    <r>
      <t xml:space="preserve">Recomienda </t>
    </r>
    <r>
      <rPr>
        <b/>
        <sz val="10"/>
        <color theme="1"/>
        <rFont val="Aptos Narrow"/>
        <scheme val="minor"/>
      </rPr>
      <t>múltiples</t>
    </r>
    <r>
      <rPr>
        <sz val="10"/>
        <color theme="1"/>
        <rFont val="Aptos Narrow"/>
        <family val="2"/>
        <scheme val="minor"/>
      </rPr>
      <t>.</t>
    </r>
  </si>
  <si>
    <r>
      <t xml:space="preserve">Presenta las características como </t>
    </r>
    <r>
      <rPr>
        <b/>
        <sz val="10"/>
        <color theme="1"/>
        <rFont val="Aptos Narrow"/>
        <scheme val="minor"/>
      </rPr>
      <t>beneficios</t>
    </r>
    <r>
      <rPr>
        <sz val="10"/>
        <color theme="1"/>
        <rFont val="Aptos Narrow"/>
        <family val="2"/>
        <scheme val="minor"/>
      </rPr>
      <t>.</t>
    </r>
  </si>
  <si>
    <t>Comparte tu experiencia en formas y estilos.
Aprovecha promociones y realiza venta adicional (Cross Selling).</t>
  </si>
  <si>
    <r>
      <t xml:space="preserve">Ofrece </t>
    </r>
    <r>
      <rPr>
        <b/>
        <sz val="10"/>
        <color theme="1"/>
        <rFont val="Aptos Narrow"/>
        <scheme val="minor"/>
      </rPr>
      <t>Care Kits</t>
    </r>
    <r>
      <rPr>
        <sz val="10"/>
        <color theme="1"/>
        <rFont val="Aptos Narrow"/>
        <family val="2"/>
        <scheme val="minor"/>
      </rPr>
      <t>.</t>
    </r>
  </si>
  <si>
    <r>
      <t xml:space="preserve">Gestiona las </t>
    </r>
    <r>
      <rPr>
        <b/>
        <sz val="10"/>
        <color theme="1"/>
        <rFont val="Aptos Narrow"/>
        <scheme val="minor"/>
      </rPr>
      <t>objeciones</t>
    </r>
    <r>
      <rPr>
        <sz val="10"/>
        <color theme="1"/>
        <rFont val="Aptos Narrow"/>
        <family val="2"/>
        <scheme val="minor"/>
      </rPr>
      <t xml:space="preserve"> como </t>
    </r>
    <r>
      <rPr>
        <b/>
        <sz val="10"/>
        <color theme="1"/>
        <rFont val="Aptos Narrow"/>
        <scheme val="minor"/>
      </rPr>
      <t>oportunidades</t>
    </r>
    <r>
      <rPr>
        <sz val="10"/>
        <color theme="1"/>
        <rFont val="Aptos Narrow"/>
        <family val="2"/>
        <scheme val="minor"/>
      </rPr>
      <t>.</t>
    </r>
  </si>
  <si>
    <t>GANA LEALTAD</t>
  </si>
  <si>
    <t>VE MÁS ALLÁ</t>
  </si>
  <si>
    <r>
      <rPr>
        <b/>
        <sz val="10"/>
        <color theme="1"/>
        <rFont val="Aptos Narrow"/>
        <scheme val="minor"/>
      </rPr>
      <t>Guía la compra</t>
    </r>
    <r>
      <rPr>
        <sz val="10"/>
        <color theme="1"/>
        <rFont val="Aptos Narrow"/>
        <family val="2"/>
        <scheme val="minor"/>
      </rPr>
      <t xml:space="preserve"> con preguntas cerradas.</t>
    </r>
  </si>
  <si>
    <r>
      <t>Propón</t>
    </r>
    <r>
      <rPr>
        <b/>
        <sz val="10"/>
        <color theme="1"/>
        <rFont val="Aptos Narrow"/>
        <scheme val="minor"/>
      </rPr>
      <t xml:space="preserve"> formas de pago alternativas</t>
    </r>
    <r>
      <rPr>
        <sz val="10"/>
        <color theme="1"/>
        <rFont val="Aptos Narrow"/>
        <family val="2"/>
        <scheme val="minor"/>
      </rPr>
      <t>.</t>
    </r>
  </si>
  <si>
    <r>
      <t xml:space="preserve">Demuestra que te </t>
    </r>
    <r>
      <rPr>
        <b/>
        <sz val="10"/>
        <color theme="1"/>
        <rFont val="Aptos Narrow"/>
        <scheme val="minor"/>
      </rPr>
      <t>preocupas</t>
    </r>
    <r>
      <rPr>
        <sz val="10"/>
        <color theme="1"/>
        <rFont val="Aptos Narrow"/>
        <family val="2"/>
        <scheme val="minor"/>
      </rPr>
      <t xml:space="preserve">, explica cómo cuidar su compra y vuelve a </t>
    </r>
    <r>
      <rPr>
        <sz val="10"/>
        <color theme="1"/>
        <rFont val="Aptos Narrow"/>
        <scheme val="minor"/>
      </rPr>
      <t>ofrecer Care Kits.</t>
    </r>
  </si>
  <si>
    <r>
      <t xml:space="preserve">Registra sus datos para el </t>
    </r>
    <r>
      <rPr>
        <b/>
        <sz val="10"/>
        <color theme="1"/>
        <rFont val="Aptos Narrow"/>
        <scheme val="minor"/>
      </rPr>
      <t>programa de lealtad</t>
    </r>
    <r>
      <rPr>
        <sz val="10"/>
        <color theme="1"/>
        <rFont val="Aptos Narrow"/>
        <family val="2"/>
        <scheme val="minor"/>
      </rPr>
      <t>.</t>
    </r>
  </si>
  <si>
    <r>
      <t xml:space="preserve">Invítalo a compartir su </t>
    </r>
    <r>
      <rPr>
        <b/>
        <sz val="10"/>
        <color theme="1"/>
        <rFont val="Aptos Narrow"/>
        <scheme val="minor"/>
      </rPr>
      <t>experiencia de compra</t>
    </r>
    <r>
      <rPr>
        <sz val="10"/>
        <color theme="1"/>
        <rFont val="Aptos Narrow"/>
        <family val="2"/>
        <scheme val="minor"/>
      </rPr>
      <t xml:space="preserve"> mediante la encuesta (NPS).</t>
    </r>
  </si>
  <si>
    <r>
      <t xml:space="preserve">Invítalo a regresar para </t>
    </r>
    <r>
      <rPr>
        <b/>
        <sz val="10"/>
        <color theme="1"/>
        <rFont val="Aptos Narrow"/>
        <scheme val="minor"/>
      </rPr>
      <t>futuras compras</t>
    </r>
    <r>
      <rPr>
        <sz val="10"/>
        <color theme="1"/>
        <rFont val="Aptos Narrow"/>
        <family val="2"/>
        <scheme val="minor"/>
      </rPr>
      <t xml:space="preserve"> y seguimiento a </t>
    </r>
    <r>
      <rPr>
        <b/>
        <sz val="10"/>
        <color theme="1"/>
        <rFont val="Aptos Narrow"/>
        <scheme val="minor"/>
      </rPr>
      <t>posibles garantías</t>
    </r>
    <r>
      <rPr>
        <sz val="10"/>
        <color theme="1"/>
        <rFont val="Aptos Narrow"/>
        <family val="2"/>
        <scheme val="minor"/>
      </rPr>
      <t>.</t>
    </r>
  </si>
  <si>
    <t>CAPTURA LOS VALORES DEL DÍA COMP</t>
  </si>
  <si>
    <t>GG5</t>
  </si>
  <si>
    <t>META SEMANAL</t>
  </si>
  <si>
    <t>SEMANAL</t>
  </si>
  <si>
    <t>CONVERSIÓN SEMANAL</t>
  </si>
  <si>
    <t>INDICADORES SEMANALES</t>
  </si>
  <si>
    <t>SEMANAL (NS)</t>
  </si>
  <si>
    <t>VALLEJO</t>
  </si>
  <si>
    <t>VIVIANA</t>
  </si>
  <si>
    <t>idalia</t>
  </si>
  <si>
    <t>Viviana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</si>
</sst>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#,##0.0"/>
    <numFmt numFmtId="166" formatCode="0.0"/>
    <numFmt numFmtId="167" formatCode="_-* #,##0_-;\-* #,##0_-;_-* &quot;-&quot;??_-;_-@_-"/>
    <numFmt numFmtId="168" formatCode="0.0%"/>
  </numFmts>
  <fonts count="3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9"/>
      <color theme="1"/>
      <name val="Aptos Narrow"/>
      <scheme val="minor"/>
    </font>
    <font>
      <sz val="10"/>
      <color theme="1"/>
      <name val="Aptos Narrow"/>
      <scheme val="minor"/>
    </font>
    <font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2">
    <xf numFmtId="0" fontId="0" fillId="0" borderId="0" xfId="0"/>
    <xf numFmtId="0" fontId="4" fillId="0" borderId="0" xfId="0" applyFont="1" applyAlignment="1">
      <alignment horizontal="center" vertical="center"/>
    </xf>
    <xf numFmtId="0" fontId="0" fillId="4" borderId="0" xfId="0" applyFill="1"/>
    <xf numFmtId="0" fontId="11" fillId="3" borderId="3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74" xfId="0" applyFont="1" applyFill="1" applyBorder="1" applyAlignment="1">
      <alignment horizontal="center" vertical="center" wrapText="1"/>
    </xf>
    <xf numFmtId="3" fontId="2" fillId="0" borderId="49" xfId="2" applyNumberFormat="1" applyFont="1" applyFill="1" applyBorder="1" applyAlignment="1" applyProtection="1">
      <alignment horizontal="center" vertical="center"/>
      <protection locked="0"/>
    </xf>
    <xf numFmtId="0" fontId="11" fillId="3" borderId="14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20" fillId="0" borderId="0" xfId="0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" fontId="18" fillId="4" borderId="0" xfId="2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3" fontId="18" fillId="4" borderId="0" xfId="2" applyNumberFormat="1" applyFont="1" applyFill="1" applyBorder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8" fillId="4" borderId="0" xfId="0" applyFont="1" applyFill="1"/>
    <xf numFmtId="0" fontId="9" fillId="0" borderId="48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3" borderId="79" xfId="0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8" fillId="4" borderId="1" xfId="0" applyFont="1" applyFill="1" applyBorder="1"/>
    <xf numFmtId="0" fontId="14" fillId="4" borderId="16" xfId="0" applyFont="1" applyFill="1" applyBorder="1" applyAlignment="1">
      <alignment horizontal="right" vertical="center"/>
    </xf>
    <xf numFmtId="0" fontId="19" fillId="4" borderId="16" xfId="0" applyFont="1" applyFill="1" applyBorder="1" applyAlignment="1" applyProtection="1">
      <alignment horizontal="left" vertical="center"/>
      <protection locked="0"/>
    </xf>
    <xf numFmtId="0" fontId="16" fillId="4" borderId="16" xfId="0" applyFont="1" applyFill="1" applyBorder="1" applyAlignment="1">
      <alignment horizontal="right" vertical="center"/>
    </xf>
    <xf numFmtId="0" fontId="19" fillId="4" borderId="16" xfId="0" applyFont="1" applyFill="1" applyBorder="1" applyAlignment="1" applyProtection="1">
      <alignment vertical="center"/>
      <protection locked="0"/>
    </xf>
    <xf numFmtId="0" fontId="16" fillId="4" borderId="16" xfId="0" applyFont="1" applyFill="1" applyBorder="1" applyAlignment="1">
      <alignment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3" fillId="4" borderId="47" xfId="0" applyFont="1" applyFill="1" applyBorder="1" applyAlignment="1">
      <alignment horizontal="center" vertical="center" wrapText="1"/>
    </xf>
    <xf numFmtId="0" fontId="23" fillId="4" borderId="46" xfId="0" applyFont="1" applyFill="1" applyBorder="1" applyAlignment="1">
      <alignment horizontal="center" vertical="center" wrapText="1"/>
    </xf>
    <xf numFmtId="3" fontId="2" fillId="2" borderId="44" xfId="0" applyNumberFormat="1" applyFont="1" applyFill="1" applyBorder="1" applyAlignment="1">
      <alignment horizontal="center" vertical="center"/>
    </xf>
    <xf numFmtId="3" fontId="2" fillId="2" borderId="43" xfId="0" applyNumberFormat="1" applyFont="1" applyFill="1" applyBorder="1" applyAlignment="1">
      <alignment horizontal="center" vertical="center"/>
    </xf>
    <xf numFmtId="166" fontId="2" fillId="2" borderId="42" xfId="0" applyNumberFormat="1" applyFont="1" applyFill="1" applyBorder="1" applyAlignment="1">
      <alignment horizontal="center" vertical="center"/>
    </xf>
    <xf numFmtId="0" fontId="23" fillId="4" borderId="4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wrapText="1"/>
    </xf>
    <xf numFmtId="0" fontId="28" fillId="4" borderId="0" xfId="0" applyFont="1" applyFill="1" applyAlignment="1">
      <alignment horizontal="left"/>
    </xf>
    <xf numFmtId="0" fontId="23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0" fontId="29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3" fontId="5" fillId="0" borderId="49" xfId="2" applyNumberFormat="1" applyFont="1" applyFill="1" applyBorder="1" applyAlignment="1" applyProtection="1">
      <alignment horizontal="center" vertical="center"/>
      <protection locked="0"/>
    </xf>
    <xf numFmtId="3" fontId="5" fillId="2" borderId="60" xfId="2" applyNumberFormat="1" applyFont="1" applyFill="1" applyBorder="1" applyAlignment="1">
      <alignment horizontal="center" vertical="center"/>
    </xf>
    <xf numFmtId="3" fontId="5" fillId="2" borderId="26" xfId="2" applyNumberFormat="1" applyFont="1" applyFill="1" applyBorder="1" applyAlignment="1">
      <alignment horizontal="center" vertical="center"/>
    </xf>
    <xf numFmtId="3" fontId="5" fillId="2" borderId="25" xfId="2" applyNumberFormat="1" applyFont="1" applyFill="1" applyBorder="1" applyAlignment="1">
      <alignment horizontal="center" vertical="center"/>
    </xf>
    <xf numFmtId="3" fontId="5" fillId="2" borderId="75" xfId="2" applyNumberFormat="1" applyFont="1" applyFill="1" applyBorder="1" applyAlignment="1">
      <alignment horizontal="center" vertical="center"/>
    </xf>
    <xf numFmtId="3" fontId="5" fillId="2" borderId="61" xfId="2" applyNumberFormat="1" applyFont="1" applyFill="1" applyBorder="1" applyAlignment="1">
      <alignment horizontal="center" vertical="center"/>
    </xf>
    <xf numFmtId="3" fontId="5" fillId="2" borderId="7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3" fontId="5" fillId="2" borderId="76" xfId="2" applyNumberFormat="1" applyFont="1" applyFill="1" applyBorder="1" applyAlignment="1">
      <alignment horizontal="center" vertical="center"/>
    </xf>
    <xf numFmtId="3" fontId="31" fillId="2" borderId="17" xfId="2" applyNumberFormat="1" applyFont="1" applyFill="1" applyBorder="1" applyAlignment="1">
      <alignment horizontal="center" vertical="center"/>
    </xf>
    <xf numFmtId="3" fontId="31" fillId="2" borderId="19" xfId="0" applyNumberFormat="1" applyFont="1" applyFill="1" applyBorder="1" applyAlignment="1">
      <alignment horizontal="center" vertical="center"/>
    </xf>
    <xf numFmtId="3" fontId="31" fillId="2" borderId="18" xfId="0" applyNumberFormat="1" applyFont="1" applyFill="1" applyBorder="1" applyAlignment="1">
      <alignment horizontal="center" vertical="center"/>
    </xf>
    <xf numFmtId="3" fontId="31" fillId="2" borderId="73" xfId="0" applyNumberFormat="1" applyFont="1" applyFill="1" applyBorder="1" applyAlignment="1">
      <alignment horizontal="center" vertical="center"/>
    </xf>
    <xf numFmtId="3" fontId="31" fillId="2" borderId="64" xfId="2" applyNumberFormat="1" applyFont="1" applyFill="1" applyBorder="1" applyAlignment="1">
      <alignment horizontal="center" vertical="center"/>
    </xf>
    <xf numFmtId="3" fontId="5" fillId="0" borderId="47" xfId="0" applyNumberFormat="1" applyFont="1" applyBorder="1" applyAlignment="1" applyProtection="1">
      <alignment horizontal="center" vertical="center"/>
      <protection locked="0"/>
    </xf>
    <xf numFmtId="0" fontId="31" fillId="2" borderId="57" xfId="0" applyFont="1" applyFill="1" applyBorder="1" applyAlignment="1">
      <alignment horizontal="center" vertical="center"/>
    </xf>
    <xf numFmtId="9" fontId="31" fillId="2" borderId="58" xfId="2" applyFont="1" applyFill="1" applyBorder="1" applyAlignment="1">
      <alignment horizontal="center" vertical="center"/>
    </xf>
    <xf numFmtId="9" fontId="31" fillId="2" borderId="11" xfId="2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3" fontId="5" fillId="2" borderId="34" xfId="0" applyNumberFormat="1" applyFont="1" applyFill="1" applyBorder="1" applyAlignment="1">
      <alignment horizontal="center" vertical="center"/>
    </xf>
    <xf numFmtId="3" fontId="5" fillId="2" borderId="59" xfId="0" applyNumberFormat="1" applyFont="1" applyFill="1" applyBorder="1" applyAlignment="1">
      <alignment horizontal="center" vertical="center"/>
    </xf>
    <xf numFmtId="3" fontId="31" fillId="2" borderId="33" xfId="0" applyNumberFormat="1" applyFont="1" applyFill="1" applyBorder="1" applyAlignment="1">
      <alignment horizontal="center" vertical="center"/>
    </xf>
    <xf numFmtId="3" fontId="5" fillId="4" borderId="46" xfId="1" applyNumberFormat="1" applyFont="1" applyFill="1" applyBorder="1" applyAlignment="1" applyProtection="1">
      <alignment horizontal="center" vertical="center"/>
      <protection locked="0"/>
    </xf>
    <xf numFmtId="1" fontId="5" fillId="2" borderId="4" xfId="2" applyNumberFormat="1" applyFont="1" applyFill="1" applyBorder="1" applyAlignment="1">
      <alignment horizontal="center" vertical="center"/>
    </xf>
    <xf numFmtId="3" fontId="5" fillId="2" borderId="37" xfId="1" applyNumberFormat="1" applyFont="1" applyFill="1" applyBorder="1" applyAlignment="1">
      <alignment horizontal="center" vertical="center"/>
    </xf>
    <xf numFmtId="3" fontId="5" fillId="0" borderId="31" xfId="1" applyNumberFormat="1" applyFont="1" applyFill="1" applyBorder="1" applyAlignment="1" applyProtection="1">
      <alignment horizontal="center" vertical="center"/>
      <protection locked="0"/>
    </xf>
    <xf numFmtId="9" fontId="31" fillId="0" borderId="4" xfId="2" applyFont="1" applyFill="1" applyBorder="1" applyAlignment="1" applyProtection="1">
      <alignment horizontal="center" vertical="center"/>
      <protection locked="0"/>
    </xf>
    <xf numFmtId="3" fontId="5" fillId="2" borderId="29" xfId="1" applyNumberFormat="1" applyFont="1" applyFill="1" applyBorder="1" applyAlignment="1">
      <alignment horizontal="center" vertical="center"/>
    </xf>
    <xf numFmtId="9" fontId="31" fillId="2" borderId="24" xfId="2" applyFont="1" applyFill="1" applyBorder="1" applyAlignment="1" applyProtection="1">
      <alignment horizontal="center" vertical="center"/>
    </xf>
    <xf numFmtId="3" fontId="5" fillId="2" borderId="4" xfId="1" applyNumberFormat="1" applyFont="1" applyFill="1" applyBorder="1" applyAlignment="1">
      <alignment horizontal="center" vertical="center"/>
    </xf>
    <xf numFmtId="9" fontId="31" fillId="2" borderId="21" xfId="2" applyFont="1" applyFill="1" applyBorder="1" applyAlignment="1" applyProtection="1">
      <alignment horizontal="center" vertical="center"/>
    </xf>
    <xf numFmtId="9" fontId="31" fillId="2" borderId="71" xfId="2" applyFont="1" applyFill="1" applyBorder="1" applyAlignment="1" applyProtection="1">
      <alignment horizontal="center" vertical="center"/>
    </xf>
    <xf numFmtId="3" fontId="5" fillId="2" borderId="72" xfId="1" applyNumberFormat="1" applyFont="1" applyFill="1" applyBorder="1" applyAlignment="1">
      <alignment horizontal="center" vertical="center"/>
    </xf>
    <xf numFmtId="3" fontId="5" fillId="2" borderId="24" xfId="1" applyNumberFormat="1" applyFont="1" applyFill="1" applyBorder="1" applyAlignment="1">
      <alignment horizontal="center" vertical="center"/>
    </xf>
    <xf numFmtId="165" fontId="5" fillId="2" borderId="33" xfId="0" applyNumberFormat="1" applyFont="1" applyFill="1" applyBorder="1" applyAlignment="1">
      <alignment horizontal="center" vertical="center"/>
    </xf>
    <xf numFmtId="3" fontId="5" fillId="4" borderId="24" xfId="1" applyNumberFormat="1" applyFont="1" applyFill="1" applyBorder="1" applyAlignment="1" applyProtection="1">
      <alignment horizontal="center" vertical="center"/>
      <protection locked="0"/>
    </xf>
    <xf numFmtId="167" fontId="5" fillId="0" borderId="38" xfId="3" applyNumberFormat="1" applyFont="1" applyBorder="1" applyAlignment="1" applyProtection="1">
      <alignment horizontal="center" vertical="center"/>
      <protection locked="0"/>
    </xf>
    <xf numFmtId="167" fontId="5" fillId="0" borderId="37" xfId="3" applyNumberFormat="1" applyFont="1" applyBorder="1" applyAlignment="1" applyProtection="1">
      <alignment horizontal="center" vertical="center"/>
      <protection locked="0"/>
    </xf>
    <xf numFmtId="167" fontId="5" fillId="2" borderId="4" xfId="3" applyNumberFormat="1" applyFont="1" applyFill="1" applyBorder="1" applyAlignment="1">
      <alignment horizontal="left" vertical="center"/>
    </xf>
    <xf numFmtId="0" fontId="5" fillId="0" borderId="47" xfId="0" applyFont="1" applyBorder="1" applyAlignment="1" applyProtection="1">
      <alignment horizontal="center" vertical="center" wrapText="1"/>
      <protection locked="0"/>
    </xf>
    <xf numFmtId="0" fontId="5" fillId="0" borderId="46" xfId="0" applyFont="1" applyBorder="1" applyAlignment="1" applyProtection="1">
      <alignment horizontal="center" vertical="center" wrapText="1"/>
      <protection locked="0"/>
    </xf>
    <xf numFmtId="3" fontId="5" fillId="2" borderId="8" xfId="2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3" fontId="31" fillId="2" borderId="44" xfId="2" applyNumberFormat="1" applyFont="1" applyFill="1" applyBorder="1" applyAlignment="1">
      <alignment horizontal="center" vertical="center"/>
    </xf>
    <xf numFmtId="0" fontId="5" fillId="4" borderId="42" xfId="0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center"/>
    </xf>
    <xf numFmtId="14" fontId="33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83" xfId="0" applyFont="1" applyBorder="1" applyAlignment="1" applyProtection="1">
      <alignment horizontal="center" vertical="center" wrapText="1"/>
      <protection locked="0"/>
    </xf>
    <xf numFmtId="9" fontId="5" fillId="2" borderId="6" xfId="2" applyFont="1" applyFill="1" applyBorder="1" applyAlignment="1" applyProtection="1">
      <alignment horizontal="center" vertical="center" wrapText="1"/>
      <protection locked="0"/>
    </xf>
    <xf numFmtId="3" fontId="5" fillId="4" borderId="26" xfId="2" applyNumberFormat="1" applyFont="1" applyFill="1" applyBorder="1" applyAlignment="1">
      <alignment horizontal="center" vertical="center"/>
    </xf>
    <xf numFmtId="3" fontId="5" fillId="4" borderId="7" xfId="2" applyNumberFormat="1" applyFont="1" applyFill="1" applyBorder="1" applyAlignment="1">
      <alignment horizontal="center" vertical="center"/>
    </xf>
    <xf numFmtId="168" fontId="5" fillId="2" borderId="44" xfId="2" applyNumberFormat="1" applyFont="1" applyFill="1" applyBorder="1" applyAlignment="1" applyProtection="1">
      <alignment vertical="center"/>
      <protection locked="0"/>
    </xf>
    <xf numFmtId="168" fontId="5" fillId="2" borderId="43" xfId="0" applyNumberFormat="1" applyFont="1" applyFill="1" applyBorder="1" applyAlignment="1" applyProtection="1">
      <alignment vertical="center"/>
      <protection locked="0"/>
    </xf>
    <xf numFmtId="168" fontId="5" fillId="4" borderId="43" xfId="2" applyNumberFormat="1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83" xfId="0" applyFont="1" applyFill="1" applyBorder="1" applyAlignment="1" applyProtection="1">
      <alignment horizontal="center" vertical="center" wrapText="1"/>
      <protection locked="0"/>
    </xf>
    <xf numFmtId="0" fontId="5" fillId="2" borderId="49" xfId="0" applyFont="1" applyFill="1" applyBorder="1" applyAlignment="1" applyProtection="1">
      <alignment horizontal="center" vertical="center" wrapText="1"/>
      <protection locked="0"/>
    </xf>
    <xf numFmtId="168" fontId="5" fillId="2" borderId="43" xfId="2" applyNumberFormat="1" applyFont="1" applyFill="1" applyBorder="1" applyAlignment="1" applyProtection="1">
      <alignment vertical="center"/>
      <protection locked="0"/>
    </xf>
    <xf numFmtId="165" fontId="5" fillId="0" borderId="46" xfId="2" applyNumberFormat="1" applyFont="1" applyFill="1" applyBorder="1" applyAlignment="1" applyProtection="1">
      <alignment horizontal="center" vertical="center"/>
      <protection locked="0"/>
    </xf>
    <xf numFmtId="165" fontId="5" fillId="2" borderId="12" xfId="2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3" fontId="5" fillId="2" borderId="46" xfId="1" applyNumberFormat="1" applyFont="1" applyFill="1" applyBorder="1" applyAlignment="1" applyProtection="1">
      <alignment horizontal="center" vertical="center"/>
      <protection locked="0"/>
    </xf>
    <xf numFmtId="3" fontId="5" fillId="2" borderId="31" xfId="1" applyNumberFormat="1" applyFont="1" applyFill="1" applyBorder="1" applyAlignment="1" applyProtection="1">
      <alignment horizontal="center" vertical="center"/>
      <protection locked="0"/>
    </xf>
    <xf numFmtId="14" fontId="16" fillId="4" borderId="16" xfId="0" applyNumberFormat="1" applyFont="1" applyFill="1" applyBorder="1" applyAlignment="1">
      <alignment horizontal="right" vertical="center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8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2" borderId="82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2" fillId="0" borderId="48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9" fontId="18" fillId="4" borderId="80" xfId="2" applyFont="1" applyFill="1" applyBorder="1" applyAlignment="1" applyProtection="1">
      <alignment horizontal="center" vertical="center" wrapText="1"/>
    </xf>
    <xf numFmtId="9" fontId="28" fillId="4" borderId="80" xfId="2" applyFont="1" applyFill="1" applyBorder="1" applyAlignment="1" applyProtection="1">
      <alignment horizontal="center" vertical="center" wrapText="1"/>
    </xf>
    <xf numFmtId="0" fontId="31" fillId="2" borderId="62" xfId="0" applyFont="1" applyFill="1" applyBorder="1" applyAlignment="1">
      <alignment horizontal="center" vertical="center"/>
    </xf>
    <xf numFmtId="0" fontId="31" fillId="2" borderId="6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 applyProtection="1">
      <alignment horizontal="center" vertical="center" wrapText="1"/>
      <protection locked="0"/>
    </xf>
    <xf numFmtId="0" fontId="5" fillId="0" borderId="81" xfId="0" applyFont="1" applyBorder="1" applyAlignment="1" applyProtection="1">
      <alignment horizontal="center" vertical="center" wrapText="1"/>
      <protection locked="0"/>
    </xf>
    <xf numFmtId="0" fontId="31" fillId="2" borderId="3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6" fillId="3" borderId="78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24" fillId="4" borderId="36" xfId="0" applyFont="1" applyFill="1" applyBorder="1" applyAlignment="1">
      <alignment horizontal="center" vertical="top"/>
    </xf>
    <xf numFmtId="0" fontId="25" fillId="4" borderId="45" xfId="0" applyFont="1" applyFill="1" applyBorder="1" applyAlignment="1">
      <alignment horizontal="center" vertical="top"/>
    </xf>
    <xf numFmtId="0" fontId="25" fillId="4" borderId="35" xfId="0" applyFont="1" applyFill="1" applyBorder="1" applyAlignment="1">
      <alignment horizontal="center" vertical="top"/>
    </xf>
    <xf numFmtId="0" fontId="25" fillId="4" borderId="41" xfId="0" applyFont="1" applyFill="1" applyBorder="1" applyAlignment="1">
      <alignment horizontal="center" vertical="top"/>
    </xf>
    <xf numFmtId="0" fontId="25" fillId="4" borderId="40" xfId="0" applyFont="1" applyFill="1" applyBorder="1" applyAlignment="1">
      <alignment horizontal="center" vertical="top"/>
    </xf>
    <xf numFmtId="0" fontId="25" fillId="4" borderId="39" xfId="0" applyFont="1" applyFill="1" applyBorder="1" applyAlignment="1">
      <alignment horizontal="center" vertical="top"/>
    </xf>
    <xf numFmtId="0" fontId="26" fillId="4" borderId="36" xfId="0" applyFont="1" applyFill="1" applyBorder="1" applyAlignment="1">
      <alignment horizontal="center" vertical="center"/>
    </xf>
    <xf numFmtId="0" fontId="26" fillId="4" borderId="45" xfId="0" applyFont="1" applyFill="1" applyBorder="1" applyAlignment="1">
      <alignment horizontal="center" vertical="center"/>
    </xf>
    <xf numFmtId="0" fontId="26" fillId="4" borderId="35" xfId="0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0" fontId="27" fillId="4" borderId="45" xfId="0" applyFont="1" applyFill="1" applyBorder="1" applyAlignment="1">
      <alignment horizontal="left" vertical="center" wrapText="1"/>
    </xf>
    <xf numFmtId="0" fontId="28" fillId="4" borderId="45" xfId="0" applyFont="1" applyFill="1" applyBorder="1" applyAlignment="1">
      <alignment horizontal="left" vertical="center" wrapText="1"/>
    </xf>
    <xf numFmtId="0" fontId="28" fillId="4" borderId="0" xfId="0" applyFont="1" applyFill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/>
    </xf>
    <xf numFmtId="0" fontId="1" fillId="4" borderId="16" xfId="0" applyFont="1" applyFill="1" applyBorder="1" applyAlignment="1">
      <alignment horizontal="left" vertical="top"/>
    </xf>
    <xf numFmtId="0" fontId="1" fillId="4" borderId="15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6" xfId="0" applyFont="1" applyFill="1" applyBorder="1" applyAlignment="1">
      <alignment horizontal="left" vertical="top"/>
    </xf>
    <xf numFmtId="0" fontId="2" fillId="4" borderId="15" xfId="0" applyFont="1" applyFill="1" applyBorder="1" applyAlignment="1">
      <alignment horizontal="left" vertical="top"/>
    </xf>
    <xf numFmtId="0" fontId="28" fillId="4" borderId="45" xfId="0" applyFont="1" applyFill="1" applyBorder="1" applyAlignment="1">
      <alignment horizontal="left" wrapText="1"/>
    </xf>
    <xf numFmtId="0" fontId="28" fillId="4" borderId="45" xfId="0" applyFont="1" applyFill="1" applyBorder="1" applyAlignment="1">
      <alignment horizontal="left"/>
    </xf>
    <xf numFmtId="0" fontId="28" fillId="4" borderId="0" xfId="0" applyFont="1" applyFill="1" applyAlignment="1">
      <alignment horizontal="left" wrapText="1"/>
    </xf>
    <xf numFmtId="0" fontId="28" fillId="4" borderId="0" xfId="0" applyFont="1" applyFill="1" applyAlignment="1">
      <alignment horizontal="left"/>
    </xf>
    <xf numFmtId="0" fontId="18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left" vertical="top"/>
    </xf>
    <xf numFmtId="0" fontId="18" fillId="4" borderId="0" xfId="0" applyFont="1" applyFill="1" applyAlignment="1">
      <alignment horizontal="left" vertical="top" wrapText="1"/>
    </xf>
    <xf numFmtId="0" fontId="18" fillId="4" borderId="45" xfId="0" applyFont="1" applyFill="1" applyBorder="1" applyAlignment="1">
      <alignment horizontal="left" vertical="top" wrapText="1"/>
    </xf>
    <xf numFmtId="0" fontId="28" fillId="4" borderId="45" xfId="0" applyFont="1" applyFill="1" applyBorder="1" applyAlignment="1">
      <alignment horizontal="left" vertical="top"/>
    </xf>
    <xf numFmtId="0" fontId="4" fillId="4" borderId="45" xfId="0" applyFont="1" applyFill="1" applyBorder="1" applyAlignment="1">
      <alignment horizontal="center" vertical="center" wrapText="1"/>
    </xf>
    <xf numFmtId="0" fontId="23" fillId="4" borderId="4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37" fillId="3" borderId="0" xfId="0" applyFont="1" applyFill="1" applyAlignment="1">
      <alignment horizontal="center" vertical="center"/>
    </xf>
    <xf numFmtId="0" fontId="37" fillId="3" borderId="40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 wrapText="1"/>
    </xf>
    <xf numFmtId="0" fontId="37" fillId="3" borderId="40" xfId="0" applyFont="1" applyFill="1" applyBorder="1" applyAlignment="1">
      <alignment horizontal="center" vertical="center" wrapText="1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4460B033-1BDE-451B-9E4E-9A9AAD70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E028415C-D0CF-092E-BCD7-9C8F2A6C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163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9" name="Imagen 8" descr="Meta Imágenes transparentes PNG, imágenes, fotos">
          <a:extLst>
            <a:ext uri="{FF2B5EF4-FFF2-40B4-BE49-F238E27FC236}">
              <a16:creationId xmlns:a16="http://schemas.microsoft.com/office/drawing/2014/main" id="{0C6C0C0C-4D4E-2E68-4F9D-C1948DD9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4427" y="20760"/>
          <a:ext cx="15305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1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85E76457-AFA4-65F2-34CD-5890B7CD27C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2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72898ACD-FF96-9FF2-7C8E-2C3BC3256BD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3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5CBD08FB-821A-A335-9AB5-B3E6515B231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4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2BF1BB8F-31F0-8604-2905-55E1636A6F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5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88F3610F-C121-2D1C-C25B-E1FD768E4E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6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0D68E6ED-4835-EDFB-17E0-E8553723C6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7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2F587C15-C100-B5BE-6CAF-46A42BDEFA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2058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671124B6-4666-EB88-9F34-9C6768079C2A}"/>
            </a:ext>
          </a:extLst>
        </xdr:cNvPr>
        <xdr:cNvSpPr>
          <a:spLocks noChangeAspect="1" noChangeArrowheads="1"/>
        </xdr:cNvSpPr>
      </xdr:nvSpPr>
      <xdr:spPr bwMode="auto">
        <a:xfrm>
          <a:off x="88265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2059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B2B143CA-7F2A-EF93-188F-741368748EA1}"/>
            </a:ext>
          </a:extLst>
        </xdr:cNvPr>
        <xdr:cNvSpPr>
          <a:spLocks noChangeAspect="1" noChangeArrowheads="1"/>
        </xdr:cNvSpPr>
      </xdr:nvSpPr>
      <xdr:spPr bwMode="auto">
        <a:xfrm>
          <a:off x="17462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0" name="Imagen 9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F8F7EE7F-D0DB-7B04-96E9-3EE24AFDFC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5038" y="3296293"/>
          <a:ext cx="3318446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1" name="Imagen 10" descr="Verde Reloj Tiempo - Imagen gratis en Pixabay">
          <a:extLst>
            <a:ext uri="{FF2B5EF4-FFF2-40B4-BE49-F238E27FC236}">
              <a16:creationId xmlns:a16="http://schemas.microsoft.com/office/drawing/2014/main" id="{9DE52A71-8927-9278-0AEC-E4CE3216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706532"/>
          <a:ext cx="1138611" cy="1130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2" name="Imagen 11" descr="Employees - Iconos gratis de negocios y finanzas">
          <a:extLst>
            <a:ext uri="{FF2B5EF4-FFF2-40B4-BE49-F238E27FC236}">
              <a16:creationId xmlns:a16="http://schemas.microsoft.com/office/drawing/2014/main" id="{B63D277C-469C-C7B7-BDEC-56120945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799" y="8227494"/>
          <a:ext cx="999067" cy="87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B58ACD3F-D84D-C04D-BA57-9139C201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6" name="Picture 1">
          <a:extLst>
            <a:ext uri="{FF2B5EF4-FFF2-40B4-BE49-F238E27FC236}">
              <a16:creationId xmlns:a16="http://schemas.microsoft.com/office/drawing/2014/main" id="{EFA3FB2A-2B30-2B4E-893A-D34A9A60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7" name="Picture 104">
          <a:extLst>
            <a:ext uri="{FF2B5EF4-FFF2-40B4-BE49-F238E27FC236}">
              <a16:creationId xmlns:a16="http://schemas.microsoft.com/office/drawing/2014/main" id="{D7DAE1B6-2499-9441-9B4E-B7C608109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B020705-2F59-5194-0966-CEACA8647C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626034"/>
          <a:ext cx="729213" cy="679266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9A93269-C8DF-6047-8483-1FC13E4C3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123745"/>
          <a:ext cx="713533" cy="673100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30A4F8-416B-F24E-8396-C105EB2DA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334932"/>
          <a:ext cx="733919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7FBBAF-DBA7-77B1-9E83-02016D4172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7945569" y="5716410"/>
          <a:ext cx="790620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3E6BF07-71C3-D448-AD8E-0AE9E942F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7929770" y="3441700"/>
          <a:ext cx="789608" cy="698500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C3873CB-7BE4-AA49-85A2-54FB0ECA4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7949494" y="4268612"/>
          <a:ext cx="799394" cy="634999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F01472C-8336-1048-8E0C-975AEF805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7930445" y="4980147"/>
          <a:ext cx="793730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BC793165-9A5F-E14B-8BB0-489FF30DFC37}"/>
            </a:ext>
          </a:extLst>
        </xdr:cNvPr>
        <xdr:cNvSpPr/>
      </xdr:nvSpPr>
      <xdr:spPr>
        <a:xfrm>
          <a:off x="7075505" y="369419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2A26BD18-D4F7-8A4C-AA07-0425CE72292D}"/>
            </a:ext>
          </a:extLst>
        </xdr:cNvPr>
        <xdr:cNvSpPr/>
      </xdr:nvSpPr>
      <xdr:spPr>
        <a:xfrm>
          <a:off x="7087281" y="431031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28DB8F5D-91CB-5045-BCAC-98D169DFA97C}"/>
            </a:ext>
          </a:extLst>
        </xdr:cNvPr>
        <xdr:cNvSpPr/>
      </xdr:nvSpPr>
      <xdr:spPr>
        <a:xfrm>
          <a:off x="7106354" y="506949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53FD27D-A71D-4E40-95C0-6DB3B11E8AD4}"/>
            </a:ext>
          </a:extLst>
        </xdr:cNvPr>
        <xdr:cNvSpPr/>
      </xdr:nvSpPr>
      <xdr:spPr>
        <a:xfrm>
          <a:off x="13905087" y="3660423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9" name="Rectangle 4">
          <a:extLst>
            <a:ext uri="{FF2B5EF4-FFF2-40B4-BE49-F238E27FC236}">
              <a16:creationId xmlns:a16="http://schemas.microsoft.com/office/drawing/2014/main" id="{F4A3B716-D304-BC46-AAAD-E4DA6C4CA9F2}"/>
            </a:ext>
          </a:extLst>
        </xdr:cNvPr>
        <xdr:cNvSpPr/>
      </xdr:nvSpPr>
      <xdr:spPr>
        <a:xfrm>
          <a:off x="13916375" y="4334934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F1033D20-1B6A-9B46-96D1-4C0E217757E6}"/>
            </a:ext>
          </a:extLst>
        </xdr:cNvPr>
        <xdr:cNvSpPr/>
      </xdr:nvSpPr>
      <xdr:spPr>
        <a:xfrm>
          <a:off x="13927663" y="5037668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698431B0-A750-9944-90AA-B8259BA40270}"/>
            </a:ext>
          </a:extLst>
        </xdr:cNvPr>
        <xdr:cNvSpPr/>
      </xdr:nvSpPr>
      <xdr:spPr>
        <a:xfrm>
          <a:off x="13953063" y="5825068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D860D000-4007-225B-3A7F-036BF496586D}"/>
            </a:ext>
          </a:extLst>
        </xdr:cNvPr>
        <xdr:cNvCxnSpPr/>
      </xdr:nvCxnSpPr>
      <xdr:spPr>
        <a:xfrm flipV="1">
          <a:off x="9736667" y="2398889"/>
          <a:ext cx="3697111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BB79310-7695-CBEF-7EA5-7F5E1F413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612586"/>
          <a:ext cx="666470" cy="589211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8E92DC0-45A8-6B4A-B710-CFE78A737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12573"/>
          <a:ext cx="666470" cy="548290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0AA2C78-DD2C-144F-81CB-9E71A007E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868161"/>
          <a:ext cx="666470" cy="5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3CC8D0C-DB74-DD46-A2F7-4B1435B03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459368"/>
          <a:ext cx="666470" cy="5401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A7C7FB7-9A96-334C-BE5F-5E2B16AB7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021380"/>
          <a:ext cx="666470" cy="540115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49A69FA-0424-F147-A2C2-BF8FD95CB041}"/>
            </a:ext>
          </a:extLst>
        </xdr:cNvPr>
        <xdr:cNvSpPr/>
      </xdr:nvSpPr>
      <xdr:spPr>
        <a:xfrm>
          <a:off x="7163869" y="742614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30" name="Rectangle 4">
          <a:extLst>
            <a:ext uri="{FF2B5EF4-FFF2-40B4-BE49-F238E27FC236}">
              <a16:creationId xmlns:a16="http://schemas.microsoft.com/office/drawing/2014/main" id="{C3DCEBB5-3624-3445-845C-7B1A8637C0D2}"/>
            </a:ext>
          </a:extLst>
        </xdr:cNvPr>
        <xdr:cNvSpPr/>
      </xdr:nvSpPr>
      <xdr:spPr>
        <a:xfrm>
          <a:off x="7177591" y="803107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31" name="Rectangle 4">
          <a:extLst>
            <a:ext uri="{FF2B5EF4-FFF2-40B4-BE49-F238E27FC236}">
              <a16:creationId xmlns:a16="http://schemas.microsoft.com/office/drawing/2014/main" id="{3601A426-7CB6-D142-A7AA-41DCBA413225}"/>
            </a:ext>
          </a:extLst>
        </xdr:cNvPr>
        <xdr:cNvSpPr/>
      </xdr:nvSpPr>
      <xdr:spPr>
        <a:xfrm>
          <a:off x="7184013" y="85995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1DAD7032-9BBC-7A4F-B338-A86BEC27FE79}"/>
            </a:ext>
          </a:extLst>
        </xdr:cNvPr>
        <xdr:cNvSpPr/>
      </xdr:nvSpPr>
      <xdr:spPr>
        <a:xfrm>
          <a:off x="7190436" y="9167941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33" name="Rectangle 4">
          <a:extLst>
            <a:ext uri="{FF2B5EF4-FFF2-40B4-BE49-F238E27FC236}">
              <a16:creationId xmlns:a16="http://schemas.microsoft.com/office/drawing/2014/main" id="{40E08296-F4FE-AC41-AA45-66E0AA7C9E54}"/>
            </a:ext>
          </a:extLst>
        </xdr:cNvPr>
        <xdr:cNvSpPr/>
      </xdr:nvSpPr>
      <xdr:spPr>
        <a:xfrm>
          <a:off x="7196859" y="973637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E1F005C-333C-BE7F-4A26-79E006EA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72696" y="8706277"/>
          <a:ext cx="501147" cy="1041831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FCAB3B0-0427-3AC6-414E-2A40F86BE7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863053" y="8633146"/>
          <a:ext cx="557570" cy="898990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F441D93-345E-B445-ACD9-8A80D8D27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872758" y="9803260"/>
          <a:ext cx="557570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1B96D43-E162-204E-89DC-FF4D84C3D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882462" y="12093539"/>
          <a:ext cx="557570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CB3F178-560A-1C48-9635-AED2E194C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877896" y="10331236"/>
          <a:ext cx="557570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2A51DB3-E206-0144-8D93-A678328C4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877895" y="10894889"/>
          <a:ext cx="557570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D0F6E85-E955-E34F-9AF5-77BF9CEA9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870761" y="11503916"/>
          <a:ext cx="557570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095200A-204B-2F17-C00A-802BDC62F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472159" y="8620875"/>
          <a:ext cx="4678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4955C2A-BE99-8E40-8DB0-16B820C85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451379" y="9184640"/>
          <a:ext cx="477981" cy="2820026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FF2C7D2-FDED-0172-858D-48B925A2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54100" y="15101194"/>
          <a:ext cx="2355144" cy="102780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3073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D3B0CDB1-D85B-2AD0-EF2C-D35B0D1C5EFA}"/>
            </a:ext>
          </a:extLst>
        </xdr:cNvPr>
        <xdr:cNvSpPr>
          <a:spLocks noChangeAspect="1" noChangeArrowheads="1"/>
        </xdr:cNvSpPr>
      </xdr:nvSpPr>
      <xdr:spPr bwMode="auto">
        <a:xfrm>
          <a:off x="81280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2E1F005C-333C-BE7F-4A26-79E006EA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59420" y="9851076"/>
          <a:ext cx="501147" cy="16441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ADB0F64A-9BAF-2F48-8AEF-FF366D5DD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A7443F96-4C1B-7343-BE61-6E425619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B510CD29-843B-D744-8301-52D2CA495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FAB9A4D0-138E-764A-BFE8-9422FB4ED69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3B4FB410-6838-EA4D-A6B9-CE471535E1E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81990316-5F82-7440-BE3B-9347CD1D5DC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3407DAD0-52C2-8647-BB49-99F98C3A958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93D4850F-D807-DC4D-8235-AE2F04704CE7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ED322D87-E51E-6B45-8830-2B52427DB3E4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370C4F68-3359-B34A-8A65-D3B2C56DADE6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07ED599B-CE28-0747-83D2-A9869A278ABA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8A4A5DB1-A161-6B4E-A731-9E8E3CB0AFB4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ADC326B4-85C5-B64C-8ED3-8A943D8E14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1A4C963D-F6D5-C94A-9586-4B0D6C66C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8539ACD1-63F9-4D4A-9599-9843A1B2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7606B074-7914-0349-98D4-9BD78DE8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ED8DDE85-BB58-6846-B3E2-9D82F71D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F7A51EBE-419B-B144-B50C-37A009BB8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528929-0DDF-2646-8D04-3AA6D3ED5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B99155-3267-8149-BAA2-ABDFA69C1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62B0B-BBEB-834C-82E4-BD41C087F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1CC0D8-DE2E-E544-BB05-618A4524D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C45326D-D057-AA4C-A18E-9FB499C30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FC0EE1-2266-324B-87E6-5D70129A8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1F470E0-E452-6D4D-A020-757E9C2204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3F4D85ED-CCEA-EC40-91AD-ECD0B101A2B9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A2F56B96-9A81-A44C-954B-229C6FA01C2A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61D7A37F-B9E1-D241-80BC-441D7C24FDD0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C955EE98-8219-E340-9E6C-E50D88F7D400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E2C25961-F427-1D4F-AE83-12FD1CCEF3C4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B2168B9A-7076-8B44-A96C-5BD1E08EA94B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B75B8A27-1AB3-6A43-B7B7-937ADF5CA01E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798986D-1B42-964A-9870-F17F08FB5266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8C9EFC7-7078-7543-8EC0-F4FCEA16D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FFE4892-144A-B547-80C9-13BE85620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5CF9BBA-88E3-4C46-9A46-5EB65A41A2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869025C-123D-4941-A8D3-E57E1A9A3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30F767D-B92C-8E4E-868A-0A37BEFEC8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B38C9AE9-5BAF-1A4D-B073-D480F0E294BD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6F31CA69-B9D0-6146-A41E-64D6CDD20D87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16E44E76-68CE-CA4F-9091-61FA500AC963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ADBDE66B-3C2A-E345-BEF5-8993296E91ED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14706142-6AAE-5941-AB66-A9DE20FD8358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D148879-7A8D-4D44-96F0-F441E0DC1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65FEBC4-8687-8B4D-BC40-9BFD42DD25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61B016F-A3DA-E042-B6D5-DFA78EED6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FC26AE1-550C-384E-A33E-8F794038E5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39B247CB-356E-FD41-89C0-F29008C71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30F85B5-B528-E748-96EA-7ECD59DD8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C756C53-7D2A-4B49-B1F8-56AF2B61F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F804BEE-ECCA-E24D-A121-98703F651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A8B79C3-6105-7E45-9183-0289A8958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6AD21D6-4D33-7A4F-A211-461EE330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39D94C26-7EDD-C14A-9012-D238943BAAC7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7F7D882-1FF5-1045-B1A5-14DBB2883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C16DC340-69EB-864C-B974-E050A34F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3BBDEBA3-8FF1-A547-A22A-7BE7312A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2A0A56CD-20A5-E742-9E15-D1AFEF27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73345836-86B1-7548-84BC-EB5078D9B4E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A6686672-DECC-204F-8232-449EBBBCD46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25B9ED2A-5FB2-9E48-8CF9-070EF1E7C0D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A47FBD3A-D143-2A4F-9EDB-29333D167035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655A8BB8-C5D1-E646-B709-DAC4EF3F8F4C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21921D44-9AA0-624B-A9E7-0498F2AA89F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486D583F-C3D4-4047-A5A3-D695A0C277D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D98F32A9-3FFC-494B-94C5-489B2B20618D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3E205305-C746-9945-A178-B403F1739653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D031642F-D3E5-7D4B-955C-3A944366B6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687E15E8-2B39-D84A-9CD5-84C57F7B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9D7E1FC7-A587-6D43-BA90-7038FC3F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1E9E6F9D-208D-E247-B8A1-22A4886A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3FF588B6-C5E0-B046-944A-F8E6A788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88B557BE-341C-8549-9065-58ED6B6E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0386ED-026B-8440-905F-89C791278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4DA44B-A758-6A4C-B63B-1AA1A2FFC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727193-2854-8B46-82A0-EB3394E83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19F16CD-C0C5-084A-889E-24711B506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3A4D66-DC9A-E84B-B51F-9AED15702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3E78163-0BE3-1645-8172-3A53F5107D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AD61133-E78A-2645-AAF8-440B89841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42B7BC9F-B0DF-3C4F-9B67-2754EFAAA807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DF7A57D2-FA03-9241-8521-621C9698EA95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26165395-9370-2D4A-8819-C420D5F3271B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CF895D2A-A0BB-5644-83A5-E7D9067EFC56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AFA617A7-E32A-BB40-ADD3-562DC1BEBBC5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2A6EF88E-31CC-1243-8E1A-22B028B70023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9E0D66DA-CEA9-B043-BB89-09AA052250FB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7AA17D62-5F97-7C44-BAAC-339433FAFD70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FC681A8-F490-6044-A502-CE84C3DEF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39C7488-9E1D-F348-8192-331AFEBBD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273E692-9AC3-1240-869E-07E6C709B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EBE923C-75EE-D749-9C83-6A732A3B9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0CBE3F9-6571-4241-9601-7D04CBBD4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A666986A-E71B-B741-803C-43BE6AC7BBEC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CCA9CE90-B7FC-5D4E-976B-41B5113943E3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8BE3833E-BF3E-4942-A326-E06D325B2645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38B6EF1F-268B-E34D-92CF-AE54B6472DE5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64401744-37A9-C94D-A730-8306BF519E03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AF6D9D3-8030-C444-A176-3FF2C17E3B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E9E92BD0-25F1-2A4B-9653-DD5800E29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7B33E0-7E3B-A245-A702-806BE411F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1D0D920-12C8-5F42-81F3-21BB6FDE9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8A7E041-4AEF-4848-BB59-B5E23EE450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E085A4F-E2C8-F24F-905C-BCA8E0CBD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9A0F6C0-07A4-F642-AF99-887C31F1F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997587B4-EB60-F740-A7B1-0FAF6C592A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2004AFF-8469-B648-AEA6-1A0BBE647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E7316BB7-99AA-494D-B506-BB056A58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30BE5D82-7414-2D4D-B855-EDD72662BA4B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3AF629D-CDDB-4344-958E-B37470E3DB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8367C5E3-579D-3743-ABBB-EAAE8979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81493A1B-6736-434A-AF82-C5A44BCA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A65B5AE0-A070-2540-BD26-ED03B594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97D7A19A-7782-2442-80FE-EFD70BFD1DC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171F57A8-20EE-2544-AF3B-4C712F654F0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25A9107A-3A49-2549-BA90-A0D9894B94E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CC10CAB4-9EBF-0A48-9744-7F251BAB37E6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F2D4B4D6-6E72-0144-96A7-FA54D3CBB8B2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2B420CB8-8CB7-F74C-A257-2F27509F298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3AA96070-D022-E34E-8D1E-AB81912662A1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9E6B928D-84B1-F845-BFD8-746D466EFCAB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7DA3058D-AA55-B643-A249-D5F64A81D6C8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402C8D5C-A3F0-B34B-9E59-EAA6448F22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4C51743E-D17B-7F48-9436-E59780E7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7F441068-FE8C-9842-A462-B981181A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7B6D2B27-526E-2F4E-B70E-C057A2BC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141CE2F5-362A-9047-85CE-1A019CFB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136AFFDE-263F-4C43-BD85-3CE017BA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6EF242-2B11-E641-8F3B-6E8374793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72BFB6-8AE6-104C-A789-84AC499C2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87D24DB-75D2-E44D-A544-3AAFABDD2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9E1C15D-540B-D942-88B2-A63E4FC5C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8C91B01-73AE-C543-80E0-EE812CC1D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6B16235-75BF-9248-BAE5-25994D0F6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B439689-8C4F-FB42-82E9-ABDC62F59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A85FA901-1C0A-F948-82F4-B1DB472862E5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A6CDF29C-96C0-1E44-A841-34AE0A4D20AF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D35E52AC-61F6-EE49-876F-83CC784B04EF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7CFD8C9B-72CE-694F-9814-2FE348429813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450CDD52-E69B-4741-AEC3-DC0E698E6192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572C048F-EB8B-1B4F-870F-550E633A2B9D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092DEFD-A941-1848-BFF2-0DDD6B0DABFB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246A78B4-B5E0-5E49-8D76-F2878F0B4B1F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8E2428D-01C9-7E4A-BE16-0E2952FCA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15F4CFF-9F6C-9C42-8350-BE3B5224A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1898567-FA7E-0442-8FD9-012D04FD2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5525066-B2EA-BC43-A556-FC8B9EE74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EE700A0-1D7D-F946-8490-9AE5A6164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663F4281-F426-FD42-AB71-F8350AE0A7DE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352968AE-8B84-5947-8561-A076E750C859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482BA7D9-F65A-164E-9ABC-F4FFA78EEC7B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3ED37F48-1B5E-2B4E-8E43-5F545BD6E7F9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AF5F7BCD-00F1-0545-B9A9-8609E05A119F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8C4CBDE-07FD-A54E-ADA3-1990EFB690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CCAEA3A-48F0-EA45-B01C-316D999FF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AF9E264-0EC4-934B-A09F-ADC4CCD7C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7672B9A-B046-B94E-8D04-125870E28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4E8C5B89-0915-BA4F-BE96-7C34003BE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89BB54A-C117-0D48-88CD-5302FF1DB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8835A30-0521-8847-8BF6-23B86769D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69DD9AFC-8605-6A47-A2FF-E41151450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BE6ADB5-C1D3-344B-AF77-17B2BA35D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06DAAB7-8E85-5E42-B2C9-7D3FF9EE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48617F55-1201-AD49-8EDF-E7E736D5A627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92C6856-4B47-F743-AE80-EE3F8CDAE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120ED1A3-EE22-6343-9A4B-F74BB77C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313ABCAB-3B21-4F49-85AE-751B9A704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7B3FA531-E3A2-E744-95E2-9C3CC6B11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B1652053-CE42-E149-95A5-C25C689F9D7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AE5F0FAB-F3D6-3147-A392-B237B20BB34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B577F9C6-AF04-2E4A-80B6-A6FF63428FC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D8E872F3-6AA3-7848-B534-A843906159CC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605036B5-2D8F-E642-86BE-E6EF136673A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C0AB17D5-A111-1847-9CBA-68C1E186318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C789C693-775D-7742-B634-FDAF7CE25A9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5C2AC3FD-2F90-D045-AA0C-2BD678975BD7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224EBC77-49C0-D246-8F3C-633E8FA601D4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50BA242B-2878-8543-B49D-37AD282BBF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7C4D42D3-040E-C64B-9114-237453A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6FE307D7-3DDA-984C-BB06-F150E60B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2C081F12-7B8E-D94D-8735-EABB7E8F2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F0315EAD-9CDD-5947-9C8E-5195BE3A4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CBFA0A26-F23C-C84E-A1E9-75444034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32B843-EC72-B94F-8850-FFC491FCE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751C385-F389-1B4F-9253-1BF78A9C71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B0023C-2B10-CC47-B7C8-A9B2864DF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01C1C8B-ACCD-D149-9FB8-D706B078D6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9E25FDD-5A98-BF42-8095-4BBB8B156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1005B80-7766-6245-ADA0-CAD284274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486766-E466-A947-B0F1-00295EADF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F6748572-2BF5-A84F-83A5-3F79BFF9690F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759E4B90-F382-A44D-9BF5-0E4BC96CC6B0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E1224EC5-30CF-C04C-BDF0-E707AEFFF96E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D7D934A3-43DC-DB41-A934-C526BA4946C1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90C81337-40E0-E142-9040-9C5E6FA81435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AE74F2C3-01A2-3942-8686-E2B133CE7CB6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755EF176-7AB0-BC48-AFCD-B861AE96822A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ED935672-CF02-9643-B1DB-24D7F28DDDA4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9D80767-4323-814E-97C2-91BA5AD30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BB0ABF1-6BCD-4F47-A88C-E5B3B6A1C0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84EE3E6-0F5C-CD4D-B0B1-D019FAD7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420A2CE-15A2-8F4C-B2B1-C8E4C4074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A80B449-F549-4E45-91F7-E2F8F3159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77BC05F3-0694-B343-B2C8-EAF16EA212FB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14A51B28-AC11-1E46-B855-CE9A79ADE232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70B955B4-9CDB-E443-829E-FF3EF0C4C101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0BC8DE58-D32D-5C4D-B2D5-9A6BFB114808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8BD8F11-F8CE-4441-92A9-22D05F91EB19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8FD1B40-4D46-B34B-8940-4CDCDAF46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FA93DCD-DFC6-7D46-851C-40508D6D5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E2DB26EF-2308-484B-BC19-152945BF19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268AE05-E5EB-BF44-AC5E-0E771673B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F6EF471D-6EC0-4F41-B789-E76C3A685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F1FC9937-1DB9-EC41-933C-B7D655D58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4DC99B4-F133-F647-ACBA-E1F47A0CE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7E84568-03B3-4448-85DD-29011673D4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C610F31-68DD-DE47-BF1C-7CF4BCE9D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A78F463-A0CA-E742-B8F3-F0918629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0E0EFAB0-D308-E745-93F4-E9EA2A56E6CA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9059AE43-B40B-A94F-B1CC-082F18983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E2B0A992-3745-0849-B030-CCD3C6A07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090A501B-3F8F-3E42-890A-1F186A94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B07C8322-C32E-DB47-9CE0-CB407CB9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8398DB07-D822-064E-B071-7C0BBD77871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8E51BA47-A213-B34B-B2D0-826352E4490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77E52161-4626-8B4D-B900-69E889EEFBA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DC8E31F3-A85C-444F-A743-6845A81EECEF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4119689F-0292-7B4B-9A53-B78AED271FCB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0EC1C517-1CC0-6D44-B686-C40A5D9D130E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B1C2EC45-6731-0C4C-9150-DB8B32D917F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5414FA5B-EAD0-EF4D-9127-832997BC335F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A5502B56-C04D-454A-A34A-C5C837E5D1DC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D98A39F5-661C-9F49-B7E9-B6262F0C05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6CD54F6A-8646-644A-8F27-1CBBE592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6E1AE83D-1500-A64D-966D-5CB537B2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93E977E2-BDFF-4A45-B721-52DF00600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FFF5ADE6-80DE-2740-B533-A9B57D682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3431FCD1-A189-C241-A1EE-FFF87F231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1EA947-1C3B-F541-9322-AB264151C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E6A0C4C-D352-4541-BCF9-AFAC2A551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02C4D61-161D-8549-9091-C287E4571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8</xdr:col>
      <xdr:colOff>2541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E001E88-E982-DA40-B5E1-D5052D2D3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A6926B4-B711-0D46-BE0A-C982F4988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EAB0D17-7525-AB44-BE50-AE769D1C0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734A31B-62F4-C14C-BE50-D89DEDEFD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C829AF14-543F-EE4E-AA13-B08A5562A715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3AA21E59-CEB1-0D4B-8E24-0A10AE769C32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F9D0D79C-03D0-2747-9E1D-6E258A850159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1CF5260B-A273-6D44-A7E2-8880CBDADE15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8C80577B-48FB-DF49-B062-E486269A8A68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8C6FE8CB-A1FF-2C4A-98CD-35D59AF10EDF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77B0758-6293-6148-BB3C-BE878D2076FD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91A94E5D-A67B-A74E-BEC0-F35E1BA64E27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6932D40-1DBB-EC4B-BEDB-2C0322A82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E5898ED-205A-2849-88B1-3B0583597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7F05C31-B169-F340-B0AB-C619EDBBC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EFFA94C-05DE-644A-BC1C-0B8DD9B1A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6C2934A-219C-774C-8843-0C15FDC54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297EEF96-D0E9-AD4B-8B6E-95A97265B8A7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372739F4-5646-984D-868B-1B8599F120D9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E9F4C730-B341-3748-BC65-B93F85633380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D800F12C-0472-1F4E-89DF-74195A76DE64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7438219-6F31-8048-A21D-3A601F5338CE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6F36AB16-AA70-7743-8C89-76F754588A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10</xdr:col>
      <xdr:colOff>744207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1E7040B0-5B3E-5E4E-8EC9-182908514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10</xdr:col>
      <xdr:colOff>741212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6955BED-75B2-8744-B358-B395291DD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10</xdr:col>
      <xdr:colOff>744020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A0BE980A-D565-0749-A033-9B9DDD251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10</xdr:col>
      <xdr:colOff>739454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5013DC83-2A2D-8D4A-A01C-67469935A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10</xdr:col>
      <xdr:colOff>739453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1C4E9E21-8C4D-1E4F-93EB-4B2BB12AE5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10</xdr:col>
      <xdr:colOff>739215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FA1A740-A8B6-614A-8CAB-7E3A91554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14</xdr:col>
      <xdr:colOff>482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1D84459-E104-434D-BE15-A4F197F0F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14</xdr:col>
      <xdr:colOff>2540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AEC8EE12-590D-0A4D-A77D-95A37AACF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D6D84323-9C26-AF42-9F82-257C0D28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A15745C3-F8DD-5F4C-BAD7-9AE721EB0BB2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737948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823A3F7-5834-6649-870D-1B398BAEC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FB8A2640-8C81-EB4F-BBE6-099F1144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A2150FF7-ED22-AF48-9B13-971C7C6C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3B8579F6-A9AB-7448-A32E-5E2EBEB49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16FD4DE8-FDF6-8D43-B811-4C98A5BAA18C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725A29AE-1DB6-784F-A27C-C476CD482C7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FB4A6D58-4ED4-3D44-B2D8-09F4381D45C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FA8405C5-83A3-104C-93A5-3D0CB3AACC7B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AD035612-5A5A-CE4F-BF38-A653B15C12B1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A579F400-6636-5640-BF00-BA5F50128129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2D0AFF01-24B1-6F42-867D-4AD81E9A466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9CF0F072-2B68-6E47-9CB6-8B9F7CB3AB77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6627F7C8-32CC-1345-98CC-8DA74F277615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A4A5277D-142C-E54E-B632-6E1E72A74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4A76B13E-CAAA-F04C-BC56-6235B95E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1E4FF143-53AD-E148-BE6F-A4F1AFD6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ADC5BD85-2A35-AB4F-B3CF-DE926939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E57AA737-A695-524F-A081-C54601EF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0A917870-F8D6-9B48-92DA-274D302F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663ABC6-9129-994F-A54F-269757F007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7156E2-0556-0C47-808B-3133538E0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F2390F8-105E-4D44-8EF6-41CC78C94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716AB5A-1D71-5C42-878A-90B07C3CA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62993F9-DD39-C640-A181-E6DC4228D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C63E39A-628F-CA40-A901-64C90EEB1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02B7287-ECC9-B143-B653-42EAE7D72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4D1F4FDC-EB4F-2147-90C4-ADA0CC66802E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D6366AFF-F6E1-B84D-8A22-97F7D20B1F3E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DCBD6B75-ACC1-3543-B650-1BA62B3ACFA1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9660C52F-A553-1A46-9A1C-F17877DD3CB4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086DA63D-1B1E-E543-AEC8-CB8676B65F64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1647420F-77D2-234D-B4F8-46B04E29ABA9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93D103E-F35A-3A49-A3A1-1A187771D2E5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1ABBF96-5A82-5346-8A42-E13C128BF893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7428E6F-4E81-CF47-BF0D-AAE987DE0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8FE6EA2-279E-1D4C-8147-E6CE4018C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F444F9C-2F01-3C47-AEF6-DD82D4E49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0333A3E-BAE9-7643-A48C-8A87ECB935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0FD0787-F987-6B4A-953F-8A9BD8B17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70F9CC84-50BC-FB49-B1BF-4A831507EC5A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99DA526A-6244-B04F-95EA-2871E113D36B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6CCC1D52-294F-4A48-B99C-2295A77EA982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1F35DB33-4D25-5B48-9C59-73468E5FA089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4BAF1BAA-BB00-8545-96D3-263989F1705B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CAE0E16B-CE0D-154E-9A84-DB2C64A14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0F63DD2-B523-0947-80BB-10A2F5959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FF40A025-A219-A34D-86B2-EE1A8C94A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82AA846-4B4D-0649-9CA0-959779581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127BB4B4-ACFC-2145-99D8-3F9822008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69A8D6D5-68AA-D847-872D-2114EB1528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A9B4F21-7848-D245-82D1-A070C3D30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852AF69-BB69-0F43-AF73-00149F1DE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81C4FF52-6C78-B745-AD9D-DF5CD4B8E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E920356-EEA0-2C47-BD28-7C27F4ED9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224527A4-ECAA-FB4A-99D5-F7AF4DFBB54F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FA09AC99-3173-7C4A-A9FE-F2DE54F319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E2" zoomScale="80" zoomScaleNormal="80" workbookViewId="0">
      <selection activeCell="R10" sqref="R10"/>
    </sheetView>
  </sheetViews>
  <sheetFormatPr baseColWidth="10" defaultColWidth="0" defaultRowHeight="14.25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30</v>
      </c>
      <c r="J1" s="19" t="s">
        <v>14</v>
      </c>
      <c r="K1" s="118">
        <v>46239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ht="15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5897</v>
      </c>
      <c r="E5" s="21" t="s">
        <v>55</v>
      </c>
      <c r="F5" s="96">
        <v>250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589.70000000000005</v>
      </c>
      <c r="P5" s="148"/>
      <c r="Q5" s="27"/>
    </row>
    <row r="6" spans="1:18" ht="46.15" customHeight="1" thickBot="1">
      <c r="B6" s="39" t="s">
        <v>17</v>
      </c>
      <c r="C6" s="109">
        <f>C5*0.85</f>
        <v>5012.45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0.12772363006281134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884.55</v>
      </c>
      <c r="E7" s="5" t="s">
        <v>21</v>
      </c>
      <c r="F7" s="94">
        <f>+F5*F6</f>
        <v>32.5</v>
      </c>
      <c r="H7" s="23" t="s">
        <v>5</v>
      </c>
      <c r="I7" s="102">
        <v>0.3</v>
      </c>
      <c r="J7" s="103">
        <f>IF(C8*I7&lt;1,1,C8*I7)</f>
        <v>1</v>
      </c>
      <c r="P7" s="107">
        <v>7500</v>
      </c>
      <c r="Q7" s="27"/>
    </row>
    <row r="8" spans="1:18" ht="46.15" customHeight="1" thickBot="1">
      <c r="B8" s="24" t="s">
        <v>18</v>
      </c>
      <c r="C8" s="95">
        <f>+C5/P9</f>
        <v>1.2772363006281136</v>
      </c>
      <c r="E8" s="25" t="s">
        <v>83</v>
      </c>
      <c r="F8" s="98">
        <f>+C5*1.1</f>
        <v>6486.7000000000007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>
        <v>4758</v>
      </c>
      <c r="P9" s="108">
        <v>4617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6578</v>
      </c>
      <c r="Q13" s="27"/>
    </row>
    <row r="14" spans="1:18" ht="46.15" customHeight="1" thickBot="1">
      <c r="B14" s="44" t="s">
        <v>29</v>
      </c>
      <c r="C14" s="90">
        <f>+C13*$C$5</f>
        <v>2948.5</v>
      </c>
      <c r="D14" s="91">
        <f t="shared" ref="D14:G14" si="0">+D13*$C$5</f>
        <v>1474.25</v>
      </c>
      <c r="E14" s="91">
        <f t="shared" si="0"/>
        <v>1474.25</v>
      </c>
      <c r="F14" s="91">
        <f t="shared" si="0"/>
        <v>0</v>
      </c>
      <c r="G14" s="91">
        <f t="shared" si="0"/>
        <v>0</v>
      </c>
      <c r="H14" s="92">
        <f>+SUM(C14:G14)</f>
        <v>5897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4312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133</v>
      </c>
      <c r="C17" s="156"/>
      <c r="D17" s="132">
        <v>10</v>
      </c>
      <c r="E17" s="72">
        <f t="shared" ref="E17:E24" si="1">($C$5/$D$25)*D17</f>
        <v>5897</v>
      </c>
      <c r="F17" s="73">
        <f>IF((($C$8-$J$5)/$D$25)*D17&lt;1,1,((($C$8-$J$5)/$D$25)*D17))</f>
        <v>1</v>
      </c>
      <c r="G17" s="123"/>
      <c r="H17" s="74">
        <f t="shared" ref="H17:H24" si="2">IF(D17&gt;0,MAX(($J$6/$D$25)*D17,1),0)</f>
        <v>1</v>
      </c>
      <c r="I17" s="75">
        <f t="shared" ref="I17:I24" si="3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/>
      <c r="C18" s="158"/>
      <c r="D18" s="71"/>
      <c r="E18" s="76">
        <f t="shared" si="1"/>
        <v>0</v>
      </c>
      <c r="F18" s="77">
        <f t="shared" ref="F18:F24" si="4">IF((($C$8-$J$5)/$D$25)*D18&lt;1,1,((($C$8-$J$5)/$D$25)*D18))</f>
        <v>1</v>
      </c>
      <c r="G18" s="124"/>
      <c r="H18" s="78">
        <f t="shared" si="2"/>
        <v>0</v>
      </c>
      <c r="I18" s="79">
        <f t="shared" si="3"/>
        <v>0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/>
      <c r="C19" s="158"/>
      <c r="D19" s="71"/>
      <c r="E19" s="76">
        <f t="shared" si="1"/>
        <v>0</v>
      </c>
      <c r="F19" s="77">
        <f t="shared" si="4"/>
        <v>1</v>
      </c>
      <c r="G19" s="124"/>
      <c r="H19" s="78">
        <f t="shared" si="2"/>
        <v>0</v>
      </c>
      <c r="I19" s="79">
        <f t="shared" si="3"/>
        <v>0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/>
      <c r="E20" s="76">
        <f t="shared" si="1"/>
        <v>0</v>
      </c>
      <c r="F20" s="77">
        <f t="shared" si="4"/>
        <v>1</v>
      </c>
      <c r="G20" s="124"/>
      <c r="H20" s="78">
        <f t="shared" si="2"/>
        <v>0</v>
      </c>
      <c r="I20" s="79">
        <f t="shared" si="3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>
        <f>IF((($C$8-$J$5)/$D$25)*D21&lt;1,1,((($C$8-$J$5)/$D$25)*D21))</f>
        <v>1</v>
      </c>
      <c r="G21" s="124"/>
      <c r="H21" s="78">
        <f t="shared" si="2"/>
        <v>0</v>
      </c>
      <c r="I21" s="79">
        <f t="shared" si="3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>
        <f t="shared" si="4"/>
        <v>1</v>
      </c>
      <c r="G22" s="124"/>
      <c r="H22" s="78">
        <f t="shared" si="2"/>
        <v>0</v>
      </c>
      <c r="I22" s="79">
        <f t="shared" si="3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>
        <f t="shared" si="4"/>
        <v>1</v>
      </c>
      <c r="G23" s="124"/>
      <c r="H23" s="78">
        <f t="shared" si="2"/>
        <v>0</v>
      </c>
      <c r="I23" s="79">
        <f t="shared" si="3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>
        <f t="shared" si="4"/>
        <v>1</v>
      </c>
      <c r="G24" s="124"/>
      <c r="H24" s="78">
        <f t="shared" si="2"/>
        <v>0</v>
      </c>
      <c r="I24" s="79">
        <f t="shared" si="3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10</v>
      </c>
      <c r="E25" s="80">
        <f>SUM(E17:E24)</f>
        <v>5897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5897</v>
      </c>
      <c r="E30" s="116">
        <v>25600</v>
      </c>
      <c r="F30" s="115">
        <f>+C8</f>
        <v>1.2772363006281136</v>
      </c>
      <c r="G30" s="116">
        <v>5</v>
      </c>
      <c r="H30" s="125">
        <f>G41/E41</f>
        <v>0.23076923076923078</v>
      </c>
      <c r="I30" s="126">
        <f>H30-F6</f>
        <v>0.10076923076923078</v>
      </c>
      <c r="J30" s="127">
        <v>0.316</v>
      </c>
      <c r="K30" s="127">
        <v>0.111</v>
      </c>
      <c r="L30" s="131">
        <f>P41/G30</f>
        <v>0.2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VIVIANA</v>
      </c>
      <c r="C33" s="178"/>
      <c r="D33" s="133">
        <f t="shared" ref="D33:D40" si="6">D17</f>
        <v>10</v>
      </c>
      <c r="E33" s="176">
        <v>6</v>
      </c>
      <c r="F33" s="176"/>
      <c r="G33" s="172">
        <v>1</v>
      </c>
      <c r="H33" s="173"/>
      <c r="I33" s="122">
        <f>IFERROR(G33/E33,"0")</f>
        <v>0.16666666666666666</v>
      </c>
      <c r="J33" s="110">
        <v>13456</v>
      </c>
      <c r="K33" s="110">
        <v>2</v>
      </c>
      <c r="L33" s="110">
        <v>3</v>
      </c>
      <c r="M33" s="120">
        <v>1</v>
      </c>
      <c r="N33" s="122">
        <f>IFERROR(M33/L33,"0")</f>
        <v>0.33333333333333331</v>
      </c>
      <c r="O33" s="110">
        <v>1</v>
      </c>
      <c r="P33" s="111">
        <v>1</v>
      </c>
      <c r="Q33" s="37"/>
      <c r="R33"/>
      <c r="S33"/>
    </row>
    <row r="34" spans="1:19" s="26" customFormat="1" ht="46.15" customHeight="1">
      <c r="A34" s="33"/>
      <c r="B34" s="143">
        <f t="shared" si="5"/>
        <v>0</v>
      </c>
      <c r="C34" s="144"/>
      <c r="D34" s="112">
        <f t="shared" si="6"/>
        <v>0</v>
      </c>
      <c r="E34" s="140">
        <v>4</v>
      </c>
      <c r="F34" s="140"/>
      <c r="G34" s="141">
        <v>1</v>
      </c>
      <c r="H34" s="142"/>
      <c r="I34" s="122">
        <f t="shared" ref="I34:I40" si="7">IFERROR(G34/E34,"0")</f>
        <v>0.25</v>
      </c>
      <c r="J34" s="113">
        <v>9344</v>
      </c>
      <c r="K34" s="113">
        <v>1</v>
      </c>
      <c r="L34" s="113">
        <v>1</v>
      </c>
      <c r="M34" s="121">
        <v>0</v>
      </c>
      <c r="N34" s="122">
        <f t="shared" ref="N34:N40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>
        <f t="shared" si="5"/>
        <v>0</v>
      </c>
      <c r="C35" s="144"/>
      <c r="D35" s="112">
        <f t="shared" si="6"/>
        <v>0</v>
      </c>
      <c r="E35" s="140">
        <v>3</v>
      </c>
      <c r="F35" s="140"/>
      <c r="G35" s="141">
        <v>1</v>
      </c>
      <c r="H35" s="142"/>
      <c r="I35" s="122">
        <f t="shared" si="7"/>
        <v>0.33333333333333331</v>
      </c>
      <c r="J35" s="113">
        <v>2800</v>
      </c>
      <c r="K35" s="113">
        <v>1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10</v>
      </c>
      <c r="E41" s="147">
        <f t="shared" ref="E41:H41" si="9">SUM(E33:E40)</f>
        <v>13</v>
      </c>
      <c r="F41" s="147">
        <f t="shared" si="9"/>
        <v>0</v>
      </c>
      <c r="G41" s="145">
        <f t="shared" si="9"/>
        <v>3</v>
      </c>
      <c r="H41" s="146">
        <f t="shared" si="9"/>
        <v>0</v>
      </c>
      <c r="I41" s="122">
        <f t="shared" ref="I41" si="10">IFERROR(G41/E41,"0")</f>
        <v>0.23076923076923078</v>
      </c>
      <c r="J41" s="128">
        <f t="shared" ref="J41" si="11">SUM(J33:J40)</f>
        <v>25600</v>
      </c>
      <c r="K41" s="128">
        <f t="shared" ref="K41" si="12">SUM(K33:K40)</f>
        <v>4</v>
      </c>
      <c r="L41" s="128">
        <f t="shared" ref="L41" si="13">SUM(L33:L40)</f>
        <v>4</v>
      </c>
      <c r="M41" s="129">
        <f t="shared" ref="M41" si="14">SUM(M33:M40)</f>
        <v>1</v>
      </c>
      <c r="N41" s="122">
        <f t="shared" ref="N41" si="15">IFERROR(M41/L41,"0")</f>
        <v>0.25</v>
      </c>
      <c r="O41" s="128">
        <f t="shared" ref="O41" si="16">SUM(O33:O40)</f>
        <v>1</v>
      </c>
      <c r="P41" s="130">
        <f t="shared" ref="P41" si="17">SUM(P33:P40)</f>
        <v>1</v>
      </c>
      <c r="Q41" s="37"/>
      <c r="R41"/>
      <c r="S41"/>
    </row>
    <row r="42" spans="1:19" ht="16.149999999999999" hidden="1" customHeight="1" thickTop="1">
      <c r="A42"/>
    </row>
    <row r="43" spans="1:19"/>
    <row r="44" spans="1:19"/>
    <row r="45" spans="1:19"/>
    <row r="46" spans="1:19"/>
    <row r="47" spans="1:19"/>
    <row r="48" spans="1:19"/>
    <row r="49"/>
    <row r="50"/>
    <row r="51"/>
    <row r="52"/>
    <row r="53"/>
  </sheetData>
  <sheetProtection selectLockedCells="1"/>
  <mergeCells count="55">
    <mergeCell ref="C1:E1"/>
    <mergeCell ref="B4:C4"/>
    <mergeCell ref="E4:F4"/>
    <mergeCell ref="H4:I4"/>
    <mergeCell ref="L4:M4"/>
    <mergeCell ref="L8:M8"/>
    <mergeCell ref="A27:Q27"/>
    <mergeCell ref="E34:F34"/>
    <mergeCell ref="G34:H34"/>
    <mergeCell ref="E35:F35"/>
    <mergeCell ref="G35:H35"/>
    <mergeCell ref="B35:C35"/>
    <mergeCell ref="E32:F32"/>
    <mergeCell ref="G32:H32"/>
    <mergeCell ref="G33:H33"/>
    <mergeCell ref="B30:C30"/>
    <mergeCell ref="B34:C34"/>
    <mergeCell ref="E33:F33"/>
    <mergeCell ref="B32:C32"/>
    <mergeCell ref="B33:C33"/>
    <mergeCell ref="P10:P11"/>
    <mergeCell ref="P4:P5"/>
    <mergeCell ref="L16:O25"/>
    <mergeCell ref="A2:Q2"/>
    <mergeCell ref="B16:C16"/>
    <mergeCell ref="B17:C17"/>
    <mergeCell ref="B18:C18"/>
    <mergeCell ref="B19:C19"/>
    <mergeCell ref="B20:C20"/>
    <mergeCell ref="I11:M14"/>
    <mergeCell ref="B23:C23"/>
    <mergeCell ref="B24:C24"/>
    <mergeCell ref="B21:C21"/>
    <mergeCell ref="B22:C22"/>
    <mergeCell ref="E9:F9"/>
    <mergeCell ref="I8:J8"/>
    <mergeCell ref="B25:C25"/>
    <mergeCell ref="B41:C41"/>
    <mergeCell ref="G41:H41"/>
    <mergeCell ref="G40:H40"/>
    <mergeCell ref="G39:H39"/>
    <mergeCell ref="G38:H38"/>
    <mergeCell ref="E40:F40"/>
    <mergeCell ref="E41:F41"/>
    <mergeCell ref="E38:F38"/>
    <mergeCell ref="E39:F39"/>
    <mergeCell ref="B38:C38"/>
    <mergeCell ref="B39:C39"/>
    <mergeCell ref="E36:F36"/>
    <mergeCell ref="G36:H36"/>
    <mergeCell ref="B36:C36"/>
    <mergeCell ref="B40:C40"/>
    <mergeCell ref="B37:C37"/>
    <mergeCell ref="G37:H37"/>
    <mergeCell ref="E37:F37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4.25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ht="15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ht="15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ht="15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/>
    <row r="32" spans="1:16"/>
  </sheetData>
  <mergeCells count="48">
    <mergeCell ref="L24:M24"/>
    <mergeCell ref="L23:M23"/>
    <mergeCell ref="O17:P17"/>
    <mergeCell ref="O18:P18"/>
    <mergeCell ref="O19:P19"/>
    <mergeCell ref="O20:P20"/>
    <mergeCell ref="O21:P21"/>
    <mergeCell ref="O22:P22"/>
    <mergeCell ref="O23:P23"/>
    <mergeCell ref="L17:M17"/>
    <mergeCell ref="L18:M18"/>
    <mergeCell ref="L19:M19"/>
    <mergeCell ref="L20:M20"/>
    <mergeCell ref="L21:M21"/>
    <mergeCell ref="L22:M22"/>
    <mergeCell ref="O16:P16"/>
    <mergeCell ref="I17:J17"/>
    <mergeCell ref="I22:J22"/>
    <mergeCell ref="I21:J21"/>
    <mergeCell ref="I20:J20"/>
    <mergeCell ref="I19:J19"/>
    <mergeCell ref="A26:P26"/>
    <mergeCell ref="A27:P27"/>
    <mergeCell ref="A29:P29"/>
    <mergeCell ref="A30:P30"/>
    <mergeCell ref="B9:F9"/>
    <mergeCell ref="B10:F10"/>
    <mergeCell ref="B11:F11"/>
    <mergeCell ref="I18:J18"/>
    <mergeCell ref="I12:P13"/>
    <mergeCell ref="B20:F20"/>
    <mergeCell ref="B19:F19"/>
    <mergeCell ref="B18:F18"/>
    <mergeCell ref="B17:F17"/>
    <mergeCell ref="B16:F16"/>
    <mergeCell ref="I16:J16"/>
    <mergeCell ref="L16:M16"/>
    <mergeCell ref="B14:F15"/>
    <mergeCell ref="I14:P15"/>
    <mergeCell ref="I9:P9"/>
    <mergeCell ref="I10:P10"/>
    <mergeCell ref="I11:P11"/>
    <mergeCell ref="B1:E1"/>
    <mergeCell ref="O1:P1"/>
    <mergeCell ref="A2:P2"/>
    <mergeCell ref="I4:P5"/>
    <mergeCell ref="I7:P8"/>
    <mergeCell ref="B7:F8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zoomScale="70" zoomScaleNormal="70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5897</v>
      </c>
      <c r="E5" s="21" t="s">
        <v>55</v>
      </c>
      <c r="F5" s="96">
        <v>250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240.69387755102042</v>
      </c>
      <c r="P5" s="148"/>
      <c r="Q5" s="27"/>
    </row>
    <row r="6" spans="1:18" ht="46.15" customHeight="1" thickBot="1">
      <c r="B6" s="39" t="s">
        <v>17</v>
      </c>
      <c r="C6" s="109">
        <f>C5*0.85</f>
        <v>5012.45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884.55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15" customHeight="1" thickBot="1">
      <c r="B8" s="24" t="s">
        <v>18</v>
      </c>
      <c r="C8" s="95" t="e">
        <f>+C5/P9</f>
        <v>#DIV/0!</v>
      </c>
      <c r="E8" s="25" t="s">
        <v>83</v>
      </c>
      <c r="F8" s="98">
        <f>+C5*1.1</f>
        <v>6486.7000000000007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/>
      <c r="P9" s="108"/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59"/>
      <c r="J13" s="159"/>
      <c r="K13" s="159"/>
      <c r="L13" s="159"/>
      <c r="M13" s="159"/>
      <c r="N13" s="119"/>
      <c r="P13" s="107"/>
      <c r="Q13" s="27"/>
    </row>
    <row r="14" spans="1:18" ht="46.15" customHeight="1" thickBot="1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93</v>
      </c>
      <c r="C17" s="156"/>
      <c r="D17" s="132">
        <v>3.5</v>
      </c>
      <c r="E17" s="72">
        <f t="shared" ref="E17:E24" si="1">($C$5/$D$25)*D17</f>
        <v>842.42857142857144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94</v>
      </c>
      <c r="C18" s="158"/>
      <c r="D18" s="71">
        <v>7</v>
      </c>
      <c r="E18" s="76">
        <f t="shared" si="1"/>
        <v>1684.8571428571429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95</v>
      </c>
      <c r="C19" s="158"/>
      <c r="D19" s="71">
        <v>7</v>
      </c>
      <c r="E19" s="76">
        <f t="shared" si="1"/>
        <v>1684.8571428571429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 t="s">
        <v>96</v>
      </c>
      <c r="C20" s="158"/>
      <c r="D20" s="71">
        <v>7</v>
      </c>
      <c r="E20" s="76">
        <f t="shared" si="1"/>
        <v>1684.8571428571429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24.5</v>
      </c>
      <c r="E25" s="80">
        <f>SUM(E17:E24)</f>
        <v>5897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5897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ELIAS</v>
      </c>
      <c r="C33" s="178"/>
      <c r="D33" s="133">
        <f t="shared" ref="D33:D40" si="6">D17</f>
        <v>3.5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CATALINA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 t="str">
        <f t="shared" si="5"/>
        <v>VICTOR</v>
      </c>
      <c r="C35" s="144"/>
      <c r="D35" s="112">
        <f t="shared" si="6"/>
        <v>7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 t="str">
        <f t="shared" si="5"/>
        <v>JIMENA</v>
      </c>
      <c r="C36" s="144"/>
      <c r="D36" s="112">
        <f t="shared" si="6"/>
        <v>7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24.5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F25" zoomScale="108" zoomScaleNormal="108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5897</v>
      </c>
      <c r="E5" s="21" t="s">
        <v>55</v>
      </c>
      <c r="F5" s="96">
        <v>250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240.69387755102042</v>
      </c>
      <c r="P5" s="148"/>
      <c r="Q5" s="27"/>
    </row>
    <row r="6" spans="1:18" ht="46.15" customHeight="1" thickBot="1">
      <c r="B6" s="39" t="s">
        <v>17</v>
      </c>
      <c r="C6" s="109">
        <f>C5*0.85</f>
        <v>5012.45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884.55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15" customHeight="1" thickBot="1">
      <c r="B8" s="24" t="s">
        <v>18</v>
      </c>
      <c r="C8" s="95" t="e">
        <f>+C5/P9</f>
        <v>#DIV/0!</v>
      </c>
      <c r="E8" s="25" t="s">
        <v>83</v>
      </c>
      <c r="F8" s="98">
        <f>+C5*1.1</f>
        <v>6486.7000000000007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/>
      <c r="P9" s="108"/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59"/>
      <c r="J13" s="159"/>
      <c r="K13" s="159"/>
      <c r="L13" s="159"/>
      <c r="M13" s="159"/>
      <c r="N13" s="119"/>
      <c r="P13" s="107"/>
      <c r="Q13" s="27"/>
    </row>
    <row r="14" spans="1:18" ht="46.15" customHeight="1" thickBot="1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93</v>
      </c>
      <c r="C17" s="156"/>
      <c r="D17" s="132">
        <v>3.5</v>
      </c>
      <c r="E17" s="72">
        <f t="shared" ref="E17:E24" si="1">($C$5/$D$25)*D17</f>
        <v>842.42857142857144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94</v>
      </c>
      <c r="C18" s="158"/>
      <c r="D18" s="71">
        <v>7</v>
      </c>
      <c r="E18" s="76">
        <f t="shared" si="1"/>
        <v>1684.8571428571429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95</v>
      </c>
      <c r="C19" s="158"/>
      <c r="D19" s="71">
        <v>7</v>
      </c>
      <c r="E19" s="76">
        <f t="shared" si="1"/>
        <v>1684.8571428571429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 t="s">
        <v>96</v>
      </c>
      <c r="C20" s="158"/>
      <c r="D20" s="71">
        <v>7</v>
      </c>
      <c r="E20" s="76">
        <f t="shared" si="1"/>
        <v>1684.8571428571429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24.5</v>
      </c>
      <c r="E25" s="80">
        <f>SUM(E17:E24)</f>
        <v>5897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5897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ELIAS</v>
      </c>
      <c r="C33" s="178"/>
      <c r="D33" s="133">
        <f t="shared" ref="D33:D40" si="6">D17</f>
        <v>3.5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CATALINA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 t="str">
        <f t="shared" si="5"/>
        <v>VICTOR</v>
      </c>
      <c r="C35" s="144"/>
      <c r="D35" s="112">
        <f t="shared" si="6"/>
        <v>7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 t="str">
        <f t="shared" si="5"/>
        <v>JIMENA</v>
      </c>
      <c r="C36" s="144"/>
      <c r="D36" s="112">
        <f t="shared" si="6"/>
        <v>7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24.5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zoomScaleNormal="100" workbookViewId="0">
      <selection activeCell="A2" sqref="A2:Q2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30</v>
      </c>
      <c r="J1" s="19" t="s">
        <v>14</v>
      </c>
      <c r="K1" s="118">
        <v>46239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5897</v>
      </c>
      <c r="E5" s="21" t="s">
        <v>55</v>
      </c>
      <c r="F5" s="96">
        <v>250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589.70000000000005</v>
      </c>
      <c r="P5" s="148"/>
      <c r="Q5" s="27"/>
    </row>
    <row r="6" spans="1:18" ht="46.15" customHeight="1" thickBot="1">
      <c r="B6" s="39" t="s">
        <v>17</v>
      </c>
      <c r="C6" s="109">
        <f>C5*0.85</f>
        <v>5012.45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0.13107357190486774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884.55</v>
      </c>
      <c r="E7" s="5" t="s">
        <v>21</v>
      </c>
      <c r="F7" s="94">
        <f>+F5*F6</f>
        <v>32.5</v>
      </c>
      <c r="H7" s="23" t="s">
        <v>5</v>
      </c>
      <c r="I7" s="102">
        <v>0.3</v>
      </c>
      <c r="J7" s="103">
        <f>IF(C8*I7&lt;1,1,C8*I7)</f>
        <v>1</v>
      </c>
      <c r="P7" s="107">
        <v>4758</v>
      </c>
      <c r="Q7" s="27"/>
    </row>
    <row r="8" spans="1:18" ht="46.15" customHeight="1" thickBot="1">
      <c r="B8" s="24" t="s">
        <v>18</v>
      </c>
      <c r="C8" s="95">
        <f>+C5/P9</f>
        <v>1.3107357190486775</v>
      </c>
      <c r="E8" s="25" t="s">
        <v>83</v>
      </c>
      <c r="F8" s="98">
        <f>+C5*1.1</f>
        <v>6486.7000000000007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93">
        <v>4758</v>
      </c>
      <c r="P9" s="108">
        <v>4499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7162</v>
      </c>
      <c r="Q13" s="27"/>
    </row>
    <row r="14" spans="1:18" ht="46.15" customHeight="1" thickBot="1">
      <c r="B14" s="44" t="s">
        <v>29</v>
      </c>
      <c r="C14" s="90">
        <f>+C13*$C$5</f>
        <v>2948.5</v>
      </c>
      <c r="D14" s="91">
        <f t="shared" ref="D14:G14" si="0">+D13*$C$5</f>
        <v>1474.25</v>
      </c>
      <c r="E14" s="91">
        <f t="shared" si="0"/>
        <v>1474.25</v>
      </c>
      <c r="F14" s="91">
        <f t="shared" si="0"/>
        <v>0</v>
      </c>
      <c r="G14" s="91">
        <f t="shared" si="0"/>
        <v>0</v>
      </c>
      <c r="H14" s="92">
        <f>+SUM(C14:G14)</f>
        <v>5897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4712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133</v>
      </c>
      <c r="C17" s="156"/>
      <c r="D17" s="132">
        <v>10</v>
      </c>
      <c r="E17" s="72">
        <f t="shared" ref="E17:E24" si="1">($C$5/$D$25)*D17</f>
        <v>5897</v>
      </c>
      <c r="F17" s="73">
        <f>IF((($C$8-$J$5)/$D$25)*D17&lt;1,1,((($C$8-$J$5)/$D$25)*D17))</f>
        <v>1</v>
      </c>
      <c r="G17" s="123"/>
      <c r="H17" s="74">
        <f t="shared" ref="H17:H24" si="2">IF(D17&gt;0,MAX(($J$6/$D$25)*D17,1),0)</f>
        <v>1</v>
      </c>
      <c r="I17" s="75">
        <f t="shared" ref="I17:I24" si="3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/>
      <c r="C18" s="158"/>
      <c r="D18" s="71"/>
      <c r="E18" s="76">
        <f t="shared" si="1"/>
        <v>0</v>
      </c>
      <c r="F18" s="77">
        <f t="shared" ref="F18:F24" si="4">IF((($C$8-$J$5)/$D$25)*D18&lt;1,1,((($C$8-$J$5)/$D$25)*D18))</f>
        <v>1</v>
      </c>
      <c r="G18" s="124"/>
      <c r="H18" s="78">
        <f t="shared" si="2"/>
        <v>0</v>
      </c>
      <c r="I18" s="79">
        <f t="shared" si="3"/>
        <v>0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/>
      <c r="C19" s="158"/>
      <c r="D19" s="71"/>
      <c r="E19" s="76">
        <f t="shared" si="1"/>
        <v>0</v>
      </c>
      <c r="F19" s="77">
        <f t="shared" si="4"/>
        <v>1</v>
      </c>
      <c r="G19" s="124"/>
      <c r="H19" s="78">
        <f t="shared" si="2"/>
        <v>0</v>
      </c>
      <c r="I19" s="79">
        <f t="shared" si="3"/>
        <v>0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/>
      <c r="E20" s="76">
        <f t="shared" si="1"/>
        <v>0</v>
      </c>
      <c r="F20" s="77">
        <f t="shared" si="4"/>
        <v>1</v>
      </c>
      <c r="G20" s="124"/>
      <c r="H20" s="78">
        <f t="shared" si="2"/>
        <v>0</v>
      </c>
      <c r="I20" s="79">
        <f t="shared" si="3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>
        <f t="shared" si="4"/>
        <v>1</v>
      </c>
      <c r="G21" s="124"/>
      <c r="H21" s="78">
        <f t="shared" si="2"/>
        <v>0</v>
      </c>
      <c r="I21" s="79">
        <f t="shared" si="3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>
        <f t="shared" si="4"/>
        <v>1</v>
      </c>
      <c r="G22" s="124"/>
      <c r="H22" s="78">
        <f t="shared" si="2"/>
        <v>0</v>
      </c>
      <c r="I22" s="79">
        <f t="shared" si="3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>
        <f t="shared" si="4"/>
        <v>1</v>
      </c>
      <c r="G23" s="124"/>
      <c r="H23" s="78">
        <f t="shared" si="2"/>
        <v>0</v>
      </c>
      <c r="I23" s="79">
        <f t="shared" si="3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>
        <f t="shared" si="4"/>
        <v>1</v>
      </c>
      <c r="G24" s="124"/>
      <c r="H24" s="78">
        <f t="shared" si="2"/>
        <v>0</v>
      </c>
      <c r="I24" s="79">
        <f t="shared" si="3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10</v>
      </c>
      <c r="E25" s="80">
        <f>SUM(E17:E24)</f>
        <v>5897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5897</v>
      </c>
      <c r="E30" s="116">
        <v>25600</v>
      </c>
      <c r="F30" s="115">
        <f>+C8</f>
        <v>1.3107357190486775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VIVIANA</v>
      </c>
      <c r="C33" s="178"/>
      <c r="D33" s="133">
        <f t="shared" ref="D33:D40" si="6">D17</f>
        <v>10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>
        <f t="shared" si="5"/>
        <v>0</v>
      </c>
      <c r="C34" s="144"/>
      <c r="D34" s="112">
        <f t="shared" si="6"/>
        <v>0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>
        <f t="shared" si="5"/>
        <v>0</v>
      </c>
      <c r="C35" s="144"/>
      <c r="D35" s="112">
        <f t="shared" si="6"/>
        <v>0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10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G26" zoomScale="113" zoomScaleNormal="113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5897</v>
      </c>
      <c r="E5" s="21" t="s">
        <v>55</v>
      </c>
      <c r="F5" s="96">
        <v>250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240.69387755102042</v>
      </c>
      <c r="P5" s="148"/>
      <c r="Q5" s="27"/>
    </row>
    <row r="6" spans="1:18" ht="46.15" customHeight="1" thickBot="1">
      <c r="B6" s="39" t="s">
        <v>17</v>
      </c>
      <c r="C6" s="109">
        <f>C5*0.85</f>
        <v>5012.45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884.55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15" customHeight="1" thickBot="1">
      <c r="B8" s="24" t="s">
        <v>18</v>
      </c>
      <c r="C8" s="95" t="e">
        <f>+C5/P9</f>
        <v>#DIV/0!</v>
      </c>
      <c r="E8" s="25" t="s">
        <v>83</v>
      </c>
      <c r="F8" s="98">
        <f>+C5*1.1</f>
        <v>6486.7000000000007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/>
      <c r="P9" s="108"/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59"/>
      <c r="J13" s="159"/>
      <c r="K13" s="159"/>
      <c r="L13" s="159"/>
      <c r="M13" s="159"/>
      <c r="N13" s="119"/>
      <c r="P13" s="107"/>
      <c r="Q13" s="27"/>
    </row>
    <row r="14" spans="1:18" ht="46.15" customHeight="1" thickBot="1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93</v>
      </c>
      <c r="C17" s="156"/>
      <c r="D17" s="132">
        <v>3.5</v>
      </c>
      <c r="E17" s="72">
        <f t="shared" ref="E17:E24" si="1">($C$5/$D$25)*D17</f>
        <v>842.42857142857144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94</v>
      </c>
      <c r="C18" s="158"/>
      <c r="D18" s="71">
        <v>7</v>
      </c>
      <c r="E18" s="76">
        <f t="shared" si="1"/>
        <v>1684.8571428571429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95</v>
      </c>
      <c r="C19" s="158"/>
      <c r="D19" s="71">
        <v>7</v>
      </c>
      <c r="E19" s="76">
        <f t="shared" si="1"/>
        <v>1684.8571428571429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 t="s">
        <v>96</v>
      </c>
      <c r="C20" s="158"/>
      <c r="D20" s="71">
        <v>7</v>
      </c>
      <c r="E20" s="76">
        <f t="shared" si="1"/>
        <v>1684.8571428571429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24.5</v>
      </c>
      <c r="E25" s="80">
        <f>SUM(E17:E24)</f>
        <v>5897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5897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ELIAS</v>
      </c>
      <c r="C33" s="178"/>
      <c r="D33" s="133">
        <f t="shared" ref="D33:D40" si="6">D17</f>
        <v>3.5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CATALINA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 t="str">
        <f t="shared" si="5"/>
        <v>VICTOR</v>
      </c>
      <c r="C35" s="144"/>
      <c r="D35" s="112">
        <f t="shared" si="6"/>
        <v>7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 t="str">
        <f t="shared" si="5"/>
        <v>JIMENA</v>
      </c>
      <c r="C36" s="144"/>
      <c r="D36" s="112">
        <f t="shared" si="6"/>
        <v>7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24.5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abSelected="1" zoomScale="60" zoomScaleNormal="60" workbookViewId="0">
      <selection activeCell="E5" sqref="E5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31</v>
      </c>
      <c r="J1" s="19" t="s">
        <v>14</v>
      </c>
      <c r="K1" s="118">
        <v>46241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5897</v>
      </c>
      <c r="E5" s="21" t="s">
        <v>55</v>
      </c>
      <c r="F5" s="96">
        <v>250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368.5625</v>
      </c>
      <c r="P5" s="148"/>
      <c r="Q5" s="27"/>
    </row>
    <row r="6" spans="1:18" ht="46.15" customHeight="1" thickBot="1">
      <c r="B6" s="39" t="s">
        <v>17</v>
      </c>
      <c r="C6" s="109">
        <f>C5*0.85</f>
        <v>5012.45</v>
      </c>
      <c r="E6" s="5" t="s">
        <v>20</v>
      </c>
      <c r="F6" s="97">
        <v>6.2E-2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0.1018128453038674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884.55</v>
      </c>
      <c r="E7" s="5" t="s">
        <v>21</v>
      </c>
      <c r="F7" s="94">
        <f>+F5*F6</f>
        <v>15.5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1.6290055248618784</v>
      </c>
      <c r="E8" s="25" t="s">
        <v>83</v>
      </c>
      <c r="F8" s="98">
        <f>+C5*1.1</f>
        <v>6486.7000000000007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>
        <v>3620</v>
      </c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3</v>
      </c>
      <c r="D12" s="70">
        <v>0</v>
      </c>
      <c r="E12" s="70">
        <v>9</v>
      </c>
      <c r="F12" s="70">
        <v>3</v>
      </c>
      <c r="G12" s="85">
        <v>1</v>
      </c>
      <c r="H12" s="86">
        <f>SUM(C12:G12)</f>
        <v>16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0.1875</v>
      </c>
      <c r="D13" s="88">
        <f>+D12/$H$12</f>
        <v>0</v>
      </c>
      <c r="E13" s="88">
        <f>+E12/$H$12</f>
        <v>0.5625</v>
      </c>
      <c r="F13" s="88">
        <f>+F12/$H$12</f>
        <v>0.1875</v>
      </c>
      <c r="G13" s="88">
        <f>+G12/$H$12</f>
        <v>6.25E-2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1105.6875</v>
      </c>
      <c r="D14" s="91">
        <f t="shared" ref="D14:G14" si="0">+D13*$C$5</f>
        <v>0</v>
      </c>
      <c r="E14" s="91">
        <f t="shared" si="0"/>
        <v>3317.0625</v>
      </c>
      <c r="F14" s="91">
        <f t="shared" si="0"/>
        <v>1105.6875</v>
      </c>
      <c r="G14" s="91">
        <f t="shared" si="0"/>
        <v>368.5625</v>
      </c>
      <c r="H14" s="92">
        <f>+SUM(C14:G14)</f>
        <v>5897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134</v>
      </c>
      <c r="C17" s="156"/>
      <c r="D17" s="132">
        <v>9</v>
      </c>
      <c r="E17" s="72">
        <f t="shared" ref="E17:E24" si="1">($C$5/$D$25)*D17</f>
        <v>3317.0625</v>
      </c>
      <c r="F17" s="73">
        <f t="shared" ref="F17:F24" si="2">IF((($C$8-$J$5)/$D$25)*D17&lt;1,1,((($C$8-$J$5)/$D$25)*D17))</f>
        <v>1</v>
      </c>
      <c r="G17" s="123"/>
      <c r="H17" s="74">
        <f t="shared" ref="H17:H24" si="3">IF(D17&gt;0,MAX(($J$6/$D$25)*D17,1),0)</f>
        <v>1</v>
      </c>
      <c r="I17" s="75">
        <f t="shared" ref="I17:I24" si="4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135</v>
      </c>
      <c r="C18" s="158"/>
      <c r="D18" s="71">
        <v>7</v>
      </c>
      <c r="E18" s="76">
        <f t="shared" si="1"/>
        <v>2579.9375</v>
      </c>
      <c r="F18" s="77">
        <f t="shared" si="2"/>
        <v>1</v>
      </c>
      <c r="G18" s="124"/>
      <c r="H18" s="78">
        <f t="shared" si="3"/>
        <v>1</v>
      </c>
      <c r="I18" s="79">
        <f t="shared" si="4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/>
      <c r="C19" s="158"/>
      <c r="D19" s="71"/>
      <c r="E19" s="76">
        <f t="shared" si="1"/>
        <v>0</v>
      </c>
      <c r="F19" s="77">
        <f t="shared" si="2"/>
        <v>1</v>
      </c>
      <c r="G19" s="124"/>
      <c r="H19" s="78">
        <f t="shared" si="3"/>
        <v>0</v>
      </c>
      <c r="I19" s="79">
        <f t="shared" si="4"/>
        <v>0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/>
      <c r="E20" s="76">
        <f t="shared" si="1"/>
        <v>0</v>
      </c>
      <c r="F20" s="77">
        <f t="shared" si="2"/>
        <v>1</v>
      </c>
      <c r="G20" s="124"/>
      <c r="H20" s="78">
        <f t="shared" si="3"/>
        <v>0</v>
      </c>
      <c r="I20" s="79">
        <f t="shared" si="4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>
        <f t="shared" si="2"/>
        <v>1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>
        <f t="shared" si="2"/>
        <v>1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>
        <f t="shared" si="2"/>
        <v>1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>
        <f t="shared" si="2"/>
        <v>1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16</v>
      </c>
      <c r="E25" s="80">
        <f>SUM(E17:E24)</f>
        <v>5897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5897</v>
      </c>
      <c r="E30" s="116">
        <v>25600</v>
      </c>
      <c r="F30" s="115">
        <f>+C8</f>
        <v>1.6290055248618784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idalia</v>
      </c>
      <c r="C33" s="178"/>
      <c r="D33" s="133">
        <f t="shared" ref="D33:D40" si="6">D17</f>
        <v>9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Viviana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>
        <f t="shared" si="5"/>
        <v>0</v>
      </c>
      <c r="C35" s="144"/>
      <c r="D35" s="112">
        <f t="shared" si="6"/>
        <v>0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16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="70" zoomScaleNormal="70" workbookViewId="0">
      <selection activeCell="Q9" sqref="Q9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0" width="10.75" style="2" customWidth="1"/>
    <col min="11" max="11" width="22.5" style="2" bestFit="1" customWidth="1"/>
    <col min="12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>
        <v>31</v>
      </c>
      <c r="J1" s="51" t="s">
        <v>14</v>
      </c>
      <c r="K1" s="139">
        <v>46241</v>
      </c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H26" zoomScale="120" zoomScaleNormal="120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5897</v>
      </c>
      <c r="E5" s="21" t="s">
        <v>55</v>
      </c>
      <c r="F5" s="96">
        <v>250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240.69387755102042</v>
      </c>
      <c r="P5" s="148"/>
      <c r="Q5" s="27"/>
    </row>
    <row r="6" spans="1:18" ht="46.15" customHeight="1" thickBot="1">
      <c r="B6" s="39" t="s">
        <v>17</v>
      </c>
      <c r="C6" s="109">
        <f>C5*0.85</f>
        <v>5012.45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884.55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15" customHeight="1" thickBot="1">
      <c r="B8" s="24" t="s">
        <v>18</v>
      </c>
      <c r="C8" s="95" t="e">
        <f>+C5/P9</f>
        <v>#DIV/0!</v>
      </c>
      <c r="E8" s="25" t="s">
        <v>83</v>
      </c>
      <c r="F8" s="98">
        <f>+C5*1.1</f>
        <v>6486.7000000000007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/>
      <c r="P9" s="108"/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59"/>
      <c r="J13" s="159"/>
      <c r="K13" s="159"/>
      <c r="L13" s="159"/>
      <c r="M13" s="159"/>
      <c r="N13" s="119"/>
      <c r="P13" s="107"/>
      <c r="Q13" s="27"/>
    </row>
    <row r="14" spans="1:18" ht="46.15" customHeight="1" thickBot="1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93</v>
      </c>
      <c r="C17" s="156"/>
      <c r="D17" s="132">
        <v>3.5</v>
      </c>
      <c r="E17" s="72">
        <f t="shared" ref="E17:E24" si="1">($C$5/$D$25)*D17</f>
        <v>842.42857142857144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94</v>
      </c>
      <c r="C18" s="158"/>
      <c r="D18" s="71">
        <v>7</v>
      </c>
      <c r="E18" s="76">
        <f t="shared" si="1"/>
        <v>1684.8571428571429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95</v>
      </c>
      <c r="C19" s="158"/>
      <c r="D19" s="71">
        <v>7</v>
      </c>
      <c r="E19" s="76">
        <f t="shared" si="1"/>
        <v>1684.8571428571429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 t="s">
        <v>96</v>
      </c>
      <c r="C20" s="158"/>
      <c r="D20" s="71">
        <v>7</v>
      </c>
      <c r="E20" s="76">
        <f t="shared" si="1"/>
        <v>1684.8571428571429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24.5</v>
      </c>
      <c r="E25" s="80">
        <f>SUM(E17:E24)</f>
        <v>5897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5897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ELIAS</v>
      </c>
      <c r="C33" s="178"/>
      <c r="D33" s="133">
        <f t="shared" ref="D33:D40" si="6">D17</f>
        <v>3.5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CATALINA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 t="str">
        <f t="shared" si="5"/>
        <v>VICTOR</v>
      </c>
      <c r="C35" s="144"/>
      <c r="D35" s="112">
        <f t="shared" si="6"/>
        <v>7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 t="str">
        <f t="shared" si="5"/>
        <v>JIMENA</v>
      </c>
      <c r="C36" s="144"/>
      <c r="D36" s="112">
        <f t="shared" si="6"/>
        <v>7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24.5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zoomScale="90" zoomScaleNormal="90" workbookViewId="0">
      <selection activeCell="C26" sqref="C26"/>
    </sheetView>
  </sheetViews>
  <sheetFormatPr baseColWidth="10" defaultColWidth="10.75" defaultRowHeight="14.25"/>
  <cols>
    <col min="1" max="1" width="10.75" style="2"/>
    <col min="2" max="2" width="17.125" style="2" customWidth="1"/>
    <col min="3" max="3" width="12.625" style="2" customWidth="1"/>
    <col min="4" max="4" width="10.75" style="2"/>
    <col min="5" max="5" width="17.75" style="2" bestFit="1" customWidth="1"/>
    <col min="6" max="6" width="23" style="2" customWidth="1"/>
    <col min="7" max="7" width="14.125" style="2" customWidth="1"/>
    <col min="8" max="8" width="17.75" style="2" customWidth="1"/>
    <col min="9" max="9" width="18.125" style="2" customWidth="1"/>
    <col min="10" max="10" width="12.125" style="2" customWidth="1"/>
    <col min="11" max="12" width="14.375" style="2" customWidth="1"/>
    <col min="13" max="13" width="16.125" style="2" customWidth="1"/>
    <col min="14" max="15" width="10.75" style="2"/>
    <col min="16" max="16" width="22" style="2" bestFit="1" customWidth="1"/>
    <col min="17" max="16384" width="10.75" style="2"/>
  </cols>
  <sheetData>
    <row r="1" spans="1:17" ht="45.75" thickBot="1">
      <c r="A1" s="150" t="s">
        <v>92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2"/>
    </row>
    <row r="3" spans="1:17" ht="15" thickBot="1">
      <c r="P3" s="2" t="s">
        <v>130</v>
      </c>
    </row>
    <row r="4" spans="1:17" ht="25.15" customHeight="1" thickBot="1">
      <c r="B4" s="228" t="s">
        <v>128</v>
      </c>
      <c r="C4" s="229"/>
      <c r="E4" s="230" t="s">
        <v>129</v>
      </c>
      <c r="F4" s="231"/>
      <c r="H4" s="230" t="s">
        <v>22</v>
      </c>
      <c r="I4" s="231"/>
      <c r="J4" s="3" t="s">
        <v>23</v>
      </c>
    </row>
    <row r="5" spans="1:17" ht="24" thickBot="1">
      <c r="B5" s="135" t="s">
        <v>127</v>
      </c>
      <c r="C5" s="137">
        <f>SUM(DOMINGO!C5,LUNES!C5,MARTES!C5,MIÉRCOLES!C5,JUEVES!C5,VIERNES!C5,SÁBADO!C5)</f>
        <v>41279</v>
      </c>
      <c r="E5" s="21" t="s">
        <v>55</v>
      </c>
      <c r="F5" s="138">
        <f>SUM(DOMINGO!F5,LUNES!F5,MARTES!F5,MIÉRCOLES!F5,JUEVES!F5,VIERNES!F5,SÁBADO!F5)</f>
        <v>1750</v>
      </c>
      <c r="H5" s="4" t="s">
        <v>3</v>
      </c>
      <c r="I5" s="99">
        <v>0.15</v>
      </c>
      <c r="J5" s="100">
        <f>IF(C7/8100&lt;1,1,C7/8100)</f>
        <v>1</v>
      </c>
      <c r="L5" s="166" t="s">
        <v>57</v>
      </c>
      <c r="M5" s="167"/>
      <c r="P5" s="16" t="s">
        <v>2</v>
      </c>
    </row>
    <row r="6" spans="1:17" ht="48" thickBot="1">
      <c r="B6" s="135" t="s">
        <v>17</v>
      </c>
      <c r="C6" s="137">
        <f>SUM(DOMINGO!C6,LUNES!C6,MARTES!C6,MIÉRCOLES!C6,JUEVES!C6,VIERNES!C6,SÁBADO!C6)</f>
        <v>35087.15</v>
      </c>
      <c r="E6" s="5" t="s">
        <v>20</v>
      </c>
      <c r="F6" s="97">
        <v>0.16</v>
      </c>
      <c r="H6" s="22" t="s">
        <v>4</v>
      </c>
      <c r="I6" s="101">
        <v>0.05</v>
      </c>
      <c r="J6" s="100">
        <f>IF(+C8*I6&lt;1,1,C8*I6)</f>
        <v>1</v>
      </c>
      <c r="L6" s="4" t="s">
        <v>131</v>
      </c>
      <c r="M6" s="106">
        <v>22519</v>
      </c>
      <c r="P6" s="107">
        <v>7500</v>
      </c>
    </row>
    <row r="7" spans="1:17" ht="48" thickBot="1">
      <c r="B7" s="136" t="s">
        <v>3</v>
      </c>
      <c r="C7" s="137">
        <f>SUM(DOMINGO!C7,LUNES!C7,MARTES!C7,MIÉRCOLES!C7,JUEVES!C7,VIERNES!C7,SÁBADO!C7)</f>
        <v>6191.85</v>
      </c>
      <c r="E7" s="5" t="s">
        <v>21</v>
      </c>
      <c r="F7" s="94">
        <f>+F5*F6</f>
        <v>280</v>
      </c>
      <c r="H7" s="23" t="s">
        <v>5</v>
      </c>
      <c r="I7" s="102">
        <v>0.3</v>
      </c>
      <c r="J7" s="103">
        <f>IF(C8*I7&lt;1,1,C8*I7)</f>
        <v>1.6511599999999997</v>
      </c>
      <c r="P7" s="17" t="s">
        <v>6</v>
      </c>
    </row>
    <row r="8" spans="1:17" ht="32.25" thickBot="1">
      <c r="B8" s="136" t="s">
        <v>18</v>
      </c>
      <c r="C8" s="137">
        <f>+C5/P6</f>
        <v>5.5038666666666662</v>
      </c>
      <c r="E8" s="25" t="s">
        <v>83</v>
      </c>
      <c r="F8" s="98">
        <f>+C5*1.1</f>
        <v>45406.9</v>
      </c>
      <c r="P8" s="108">
        <v>4617</v>
      </c>
    </row>
    <row r="10" spans="1:17" ht="15" thickBot="1"/>
    <row r="11" spans="1:17" ht="63.75" thickBot="1">
      <c r="B11" s="153" t="s">
        <v>33</v>
      </c>
      <c r="C11" s="154"/>
      <c r="D11" s="7" t="s">
        <v>34</v>
      </c>
      <c r="E11" s="7" t="s">
        <v>35</v>
      </c>
      <c r="F11" s="8" t="s">
        <v>58</v>
      </c>
      <c r="G11" s="8" t="s">
        <v>36</v>
      </c>
      <c r="H11" s="8" t="s">
        <v>37</v>
      </c>
      <c r="I11" s="9" t="s">
        <v>38</v>
      </c>
    </row>
    <row r="12" spans="1:17" ht="21" thickBot="1">
      <c r="B12" s="155" t="s">
        <v>93</v>
      </c>
      <c r="C12" s="156"/>
      <c r="D12" s="132">
        <v>3.5</v>
      </c>
      <c r="E12" s="72">
        <f>($C$5/$D$20)*D12</f>
        <v>5897</v>
      </c>
      <c r="F12" s="74">
        <f>IF($C$6&gt;0,MAX(($J$5/$D$20)*D12,1),0)</f>
        <v>1</v>
      </c>
      <c r="G12" s="123"/>
      <c r="H12" s="74">
        <f>IF(D12&gt;0,MAX(($J$6/$D$20)*D12,1),0)</f>
        <v>1</v>
      </c>
      <c r="I12" s="75">
        <f>IF(D12&gt;0,MAX(($J$7/$D$20)*D12,1),0)</f>
        <v>1</v>
      </c>
    </row>
    <row r="13" spans="1:17" ht="21" thickBot="1">
      <c r="B13" s="157" t="s">
        <v>94</v>
      </c>
      <c r="C13" s="158"/>
      <c r="D13" s="71">
        <v>7</v>
      </c>
      <c r="E13" s="72">
        <f t="shared" ref="E13:E19" si="0">($C$5/$D$20)*D13</f>
        <v>11794</v>
      </c>
      <c r="F13" s="74">
        <f>IF($C$6&gt;0,MAX(($J$5/$D$20)*D13,1),0)</f>
        <v>1</v>
      </c>
      <c r="G13" s="124"/>
      <c r="H13" s="74">
        <f t="shared" ref="H13:H19" si="1">IF(D13&gt;0,MAX(($J$6/$D$20)*D13,1),0)</f>
        <v>1</v>
      </c>
      <c r="I13" s="75">
        <f t="shared" ref="I13:I19" si="2">IF(D13&gt;0,MAX(($J$7/$D$20)*D13,1),0)</f>
        <v>1</v>
      </c>
    </row>
    <row r="14" spans="1:17" ht="21" thickBot="1">
      <c r="B14" s="157" t="s">
        <v>95</v>
      </c>
      <c r="C14" s="158"/>
      <c r="D14" s="71">
        <v>7</v>
      </c>
      <c r="E14" s="72">
        <f t="shared" si="0"/>
        <v>11794</v>
      </c>
      <c r="F14" s="74">
        <f t="shared" ref="F14:F19" si="3">IF($C$6&gt;0,MAX(($J$5/$D$20)*D14,1),0)</f>
        <v>1</v>
      </c>
      <c r="G14" s="124"/>
      <c r="H14" s="74">
        <f t="shared" si="1"/>
        <v>1</v>
      </c>
      <c r="I14" s="75">
        <f t="shared" si="2"/>
        <v>1</v>
      </c>
    </row>
    <row r="15" spans="1:17" ht="21" thickBot="1">
      <c r="B15" s="157" t="s">
        <v>96</v>
      </c>
      <c r="C15" s="158"/>
      <c r="D15" s="71">
        <v>7</v>
      </c>
      <c r="E15" s="72">
        <f t="shared" si="0"/>
        <v>11794</v>
      </c>
      <c r="F15" s="74">
        <f t="shared" si="3"/>
        <v>1</v>
      </c>
      <c r="G15" s="124"/>
      <c r="H15" s="74">
        <f t="shared" si="1"/>
        <v>1</v>
      </c>
      <c r="I15" s="75">
        <f t="shared" si="2"/>
        <v>1</v>
      </c>
    </row>
    <row r="16" spans="1:17" ht="21" thickBot="1">
      <c r="B16" s="157"/>
      <c r="C16" s="158"/>
      <c r="D16" s="71"/>
      <c r="E16" s="72">
        <f t="shared" si="0"/>
        <v>0</v>
      </c>
      <c r="F16" s="74">
        <f t="shared" si="3"/>
        <v>1</v>
      </c>
      <c r="G16" s="124"/>
      <c r="H16" s="74">
        <f t="shared" si="1"/>
        <v>0</v>
      </c>
      <c r="I16" s="75">
        <f t="shared" si="2"/>
        <v>0</v>
      </c>
    </row>
    <row r="17" spans="1:15" ht="21" thickBot="1">
      <c r="B17" s="157"/>
      <c r="C17" s="158"/>
      <c r="D17" s="71"/>
      <c r="E17" s="72">
        <f t="shared" si="0"/>
        <v>0</v>
      </c>
      <c r="F17" s="74">
        <f t="shared" si="3"/>
        <v>1</v>
      </c>
      <c r="G17" s="124"/>
      <c r="H17" s="74">
        <f t="shared" si="1"/>
        <v>0</v>
      </c>
      <c r="I17" s="75">
        <f t="shared" si="2"/>
        <v>0</v>
      </c>
    </row>
    <row r="18" spans="1:15" ht="21" thickBot="1">
      <c r="B18" s="160"/>
      <c r="C18" s="161"/>
      <c r="D18" s="10"/>
      <c r="E18" s="72">
        <f t="shared" si="0"/>
        <v>0</v>
      </c>
      <c r="F18" s="74">
        <f t="shared" si="3"/>
        <v>1</v>
      </c>
      <c r="G18" s="124"/>
      <c r="H18" s="74">
        <f t="shared" si="1"/>
        <v>0</v>
      </c>
      <c r="I18" s="75">
        <f t="shared" si="2"/>
        <v>0</v>
      </c>
    </row>
    <row r="19" spans="1:15" ht="21" thickBot="1">
      <c r="B19" s="160"/>
      <c r="C19" s="161"/>
      <c r="D19" s="10"/>
      <c r="E19" s="72">
        <f t="shared" si="0"/>
        <v>0</v>
      </c>
      <c r="F19" s="74">
        <f t="shared" si="3"/>
        <v>1</v>
      </c>
      <c r="G19" s="124"/>
      <c r="H19" s="74">
        <f t="shared" si="1"/>
        <v>0</v>
      </c>
      <c r="I19" s="75">
        <f t="shared" si="2"/>
        <v>0</v>
      </c>
    </row>
    <row r="20" spans="1:15" ht="21" thickBot="1">
      <c r="B20" s="164" t="s">
        <v>0</v>
      </c>
      <c r="C20" s="165" t="s">
        <v>0</v>
      </c>
      <c r="D20" s="84">
        <f>+SUM(D12:D19)</f>
        <v>24.5</v>
      </c>
      <c r="E20" s="80">
        <f>SUM(E12:E19)</f>
        <v>41279</v>
      </c>
      <c r="F20" s="81">
        <f>SUM(F12:F19)</f>
        <v>8</v>
      </c>
      <c r="G20" s="81">
        <f>SUM(G12:G19)</f>
        <v>0</v>
      </c>
      <c r="H20" s="82">
        <f>+J1</f>
        <v>0</v>
      </c>
      <c r="I20" s="83">
        <f>+J2</f>
        <v>0</v>
      </c>
    </row>
    <row r="24" spans="1:15" ht="15" thickBot="1"/>
    <row r="25" spans="1:15" ht="48" thickBot="1">
      <c r="A25" s="27"/>
      <c r="B25" s="27"/>
      <c r="C25" s="11" t="s">
        <v>41</v>
      </c>
      <c r="D25" s="12" t="s">
        <v>40</v>
      </c>
      <c r="E25" s="11" t="s">
        <v>42</v>
      </c>
      <c r="F25" s="12" t="s">
        <v>43</v>
      </c>
      <c r="G25" s="11" t="s">
        <v>44</v>
      </c>
      <c r="H25" s="13" t="s">
        <v>45</v>
      </c>
      <c r="I25" s="13" t="s">
        <v>8</v>
      </c>
      <c r="J25" s="13" t="s">
        <v>10</v>
      </c>
      <c r="K25" s="13" t="s">
        <v>9</v>
      </c>
      <c r="L25" s="31" t="s">
        <v>1</v>
      </c>
      <c r="M25" s="31"/>
      <c r="N25" s="31" t="s">
        <v>11</v>
      </c>
      <c r="O25" s="27"/>
    </row>
    <row r="26" spans="1:15" ht="21" thickBot="1">
      <c r="A26" s="174" t="s">
        <v>46</v>
      </c>
      <c r="B26" s="175" t="s">
        <v>0</v>
      </c>
      <c r="C26" s="115">
        <f>+C5</f>
        <v>41279</v>
      </c>
      <c r="D26" s="116"/>
      <c r="E26" s="115" t="str">
        <f>+B4</f>
        <v>SEMANAL</v>
      </c>
      <c r="F26" s="116"/>
      <c r="G26" s="125">
        <f>D26/C26</f>
        <v>0</v>
      </c>
      <c r="H26" s="126">
        <f>G26-F6</f>
        <v>-0.16</v>
      </c>
      <c r="I26" s="127"/>
      <c r="J26" s="127"/>
      <c r="K26" s="131" t="e">
        <f>O37/F26</f>
        <v>#DIV/0!</v>
      </c>
      <c r="L26" s="36"/>
      <c r="M26" s="36"/>
      <c r="N26" s="36"/>
      <c r="O26" s="27"/>
    </row>
    <row r="27" spans="1:15" ht="15" thickBo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63.75" thickBot="1">
      <c r="A28" s="153" t="s">
        <v>47</v>
      </c>
      <c r="B28" s="154"/>
      <c r="C28" s="14" t="s">
        <v>34</v>
      </c>
      <c r="D28" s="168" t="s">
        <v>48</v>
      </c>
      <c r="E28" s="169"/>
      <c r="F28" s="170" t="s">
        <v>49</v>
      </c>
      <c r="G28" s="171"/>
      <c r="H28" s="15" t="s">
        <v>50</v>
      </c>
      <c r="I28" s="15" t="s">
        <v>51</v>
      </c>
      <c r="J28" s="15" t="s">
        <v>52</v>
      </c>
      <c r="K28" s="15" t="s">
        <v>100</v>
      </c>
      <c r="L28" s="15" t="s">
        <v>99</v>
      </c>
      <c r="M28" s="15" t="s">
        <v>86</v>
      </c>
      <c r="N28" s="15" t="s">
        <v>53</v>
      </c>
      <c r="O28" s="41" t="s">
        <v>54</v>
      </c>
    </row>
    <row r="29" spans="1:15" ht="21" thickBot="1">
      <c r="A29" s="177" t="str">
        <f>B12</f>
        <v>ELIAS</v>
      </c>
      <c r="B29" s="178"/>
      <c r="C29" s="133">
        <f>D12</f>
        <v>3.5</v>
      </c>
      <c r="D29" s="176"/>
      <c r="E29" s="176"/>
      <c r="F29" s="172"/>
      <c r="G29" s="173"/>
      <c r="H29" s="122" t="str">
        <f>IFERROR(F29/D29,"0")</f>
        <v>0</v>
      </c>
      <c r="I29" s="110"/>
      <c r="J29" s="110"/>
      <c r="K29" s="110"/>
      <c r="L29" s="120"/>
      <c r="M29" s="122" t="str">
        <f>IFERROR(L29/K29,"0")</f>
        <v>0</v>
      </c>
      <c r="N29" s="110"/>
      <c r="O29" s="111"/>
    </row>
    <row r="30" spans="1:15" ht="21" thickBot="1">
      <c r="A30" s="177" t="str">
        <f t="shared" ref="A30:A36" si="4">B13</f>
        <v>CATALINA</v>
      </c>
      <c r="B30" s="178"/>
      <c r="C30" s="133">
        <f t="shared" ref="C30:C36" si="5">D13</f>
        <v>7</v>
      </c>
      <c r="D30" s="140"/>
      <c r="E30" s="140"/>
      <c r="F30" s="141"/>
      <c r="G30" s="142"/>
      <c r="H30" s="122" t="str">
        <f t="shared" ref="H30:H37" si="6">IFERROR(F30/D30,"0")</f>
        <v>0</v>
      </c>
      <c r="I30" s="113"/>
      <c r="J30" s="113"/>
      <c r="K30" s="113"/>
      <c r="L30" s="121"/>
      <c r="M30" s="122" t="str">
        <f t="shared" ref="M30:M37" si="7">IFERROR(L30/K30,"0")</f>
        <v>0</v>
      </c>
      <c r="N30" s="113"/>
      <c r="O30" s="114"/>
    </row>
    <row r="31" spans="1:15" ht="21" thickBot="1">
      <c r="A31" s="177" t="str">
        <f t="shared" si="4"/>
        <v>VICTOR</v>
      </c>
      <c r="B31" s="178"/>
      <c r="C31" s="133">
        <f t="shared" si="5"/>
        <v>7</v>
      </c>
      <c r="D31" s="140"/>
      <c r="E31" s="140"/>
      <c r="F31" s="141"/>
      <c r="G31" s="142"/>
      <c r="H31" s="122" t="str">
        <f t="shared" si="6"/>
        <v>0</v>
      </c>
      <c r="I31" s="113"/>
      <c r="J31" s="113"/>
      <c r="K31" s="113"/>
      <c r="L31" s="121"/>
      <c r="M31" s="122" t="str">
        <f t="shared" si="7"/>
        <v>0</v>
      </c>
      <c r="N31" s="113"/>
      <c r="O31" s="114"/>
    </row>
    <row r="32" spans="1:15" ht="21" thickBot="1">
      <c r="A32" s="177" t="str">
        <f t="shared" si="4"/>
        <v>JIMENA</v>
      </c>
      <c r="B32" s="178"/>
      <c r="C32" s="133">
        <f t="shared" si="5"/>
        <v>7</v>
      </c>
      <c r="D32" s="140"/>
      <c r="E32" s="140"/>
      <c r="F32" s="141"/>
      <c r="G32" s="142"/>
      <c r="H32" s="122" t="str">
        <f t="shared" si="6"/>
        <v>0</v>
      </c>
      <c r="I32" s="113"/>
      <c r="J32" s="113"/>
      <c r="K32" s="113"/>
      <c r="L32" s="121"/>
      <c r="M32" s="122" t="str">
        <f t="shared" si="7"/>
        <v>0</v>
      </c>
      <c r="N32" s="113"/>
      <c r="O32" s="114"/>
    </row>
    <row r="33" spans="1:15" ht="21" thickBot="1">
      <c r="A33" s="177">
        <f t="shared" si="4"/>
        <v>0</v>
      </c>
      <c r="B33" s="178"/>
      <c r="C33" s="133">
        <f t="shared" si="5"/>
        <v>0</v>
      </c>
      <c r="D33" s="140"/>
      <c r="E33" s="140"/>
      <c r="F33" s="141"/>
      <c r="G33" s="142"/>
      <c r="H33" s="122" t="str">
        <f t="shared" si="6"/>
        <v>0</v>
      </c>
      <c r="I33" s="113"/>
      <c r="J33" s="113"/>
      <c r="K33" s="113"/>
      <c r="L33" s="121"/>
      <c r="M33" s="122" t="str">
        <f t="shared" si="7"/>
        <v>0</v>
      </c>
      <c r="N33" s="113"/>
      <c r="O33" s="114"/>
    </row>
    <row r="34" spans="1:15" ht="21" thickBot="1">
      <c r="A34" s="177">
        <f t="shared" si="4"/>
        <v>0</v>
      </c>
      <c r="B34" s="178"/>
      <c r="C34" s="133">
        <f t="shared" si="5"/>
        <v>0</v>
      </c>
      <c r="D34" s="140"/>
      <c r="E34" s="140"/>
      <c r="F34" s="141"/>
      <c r="G34" s="142"/>
      <c r="H34" s="122" t="str">
        <f t="shared" si="6"/>
        <v>0</v>
      </c>
      <c r="I34" s="113"/>
      <c r="J34" s="113"/>
      <c r="K34" s="113"/>
      <c r="L34" s="121"/>
      <c r="M34" s="122" t="str">
        <f t="shared" si="7"/>
        <v>0</v>
      </c>
      <c r="N34" s="113"/>
      <c r="O34" s="114"/>
    </row>
    <row r="35" spans="1:15" ht="21" thickBot="1">
      <c r="A35" s="177">
        <f t="shared" si="4"/>
        <v>0</v>
      </c>
      <c r="B35" s="178"/>
      <c r="C35" s="133">
        <f t="shared" si="5"/>
        <v>0</v>
      </c>
      <c r="D35" s="140"/>
      <c r="E35" s="140"/>
      <c r="F35" s="141"/>
      <c r="G35" s="142"/>
      <c r="H35" s="122" t="str">
        <f t="shared" si="6"/>
        <v>0</v>
      </c>
      <c r="I35" s="113"/>
      <c r="J35" s="113"/>
      <c r="K35" s="113"/>
      <c r="L35" s="121"/>
      <c r="M35" s="122" t="str">
        <f t="shared" si="7"/>
        <v>0</v>
      </c>
      <c r="N35" s="113"/>
      <c r="O35" s="114"/>
    </row>
    <row r="36" spans="1:15" ht="20.25">
      <c r="A36" s="177">
        <f t="shared" si="4"/>
        <v>0</v>
      </c>
      <c r="B36" s="178"/>
      <c r="C36" s="133">
        <f t="shared" si="5"/>
        <v>0</v>
      </c>
      <c r="D36" s="140"/>
      <c r="E36" s="140"/>
      <c r="F36" s="141"/>
      <c r="G36" s="142"/>
      <c r="H36" s="122" t="str">
        <f t="shared" si="6"/>
        <v>0</v>
      </c>
      <c r="I36" s="113"/>
      <c r="J36" s="113"/>
      <c r="K36" s="113"/>
      <c r="L36" s="121"/>
      <c r="M36" s="122" t="str">
        <f t="shared" si="7"/>
        <v>0</v>
      </c>
      <c r="N36" s="113"/>
      <c r="O36" s="114"/>
    </row>
    <row r="37" spans="1:15" ht="20.25">
      <c r="A37" s="143" t="s">
        <v>0</v>
      </c>
      <c r="B37" s="144"/>
      <c r="C37" s="112">
        <f>SUM(C29:C36)</f>
        <v>24.5</v>
      </c>
      <c r="D37" s="147">
        <f t="shared" ref="D37:G37" si="8">SUM(D29:D36)</f>
        <v>0</v>
      </c>
      <c r="E37" s="147">
        <f t="shared" si="8"/>
        <v>0</v>
      </c>
      <c r="F37" s="145">
        <f t="shared" si="8"/>
        <v>0</v>
      </c>
      <c r="G37" s="146">
        <f t="shared" si="8"/>
        <v>0</v>
      </c>
      <c r="H37" s="122" t="str">
        <f t="shared" si="6"/>
        <v>0</v>
      </c>
      <c r="I37" s="128">
        <f t="shared" ref="I37:L37" si="9">SUM(I29:I36)</f>
        <v>0</v>
      </c>
      <c r="J37" s="128">
        <f t="shared" si="9"/>
        <v>0</v>
      </c>
      <c r="K37" s="128">
        <f t="shared" si="9"/>
        <v>0</v>
      </c>
      <c r="L37" s="129">
        <f t="shared" si="9"/>
        <v>0</v>
      </c>
      <c r="M37" s="122" t="str">
        <f t="shared" si="7"/>
        <v>0</v>
      </c>
      <c r="N37" s="128">
        <f t="shared" ref="N37:O37" si="10">SUM(N29:N36)</f>
        <v>0</v>
      </c>
      <c r="O37" s="130">
        <f t="shared" si="10"/>
        <v>0</v>
      </c>
    </row>
  </sheetData>
  <mergeCells count="46">
    <mergeCell ref="A36:B36"/>
    <mergeCell ref="D36:E36"/>
    <mergeCell ref="F36:G36"/>
    <mergeCell ref="A37:B37"/>
    <mergeCell ref="D37:E37"/>
    <mergeCell ref="F37:G37"/>
    <mergeCell ref="A34:B34"/>
    <mergeCell ref="D34:E34"/>
    <mergeCell ref="F34:G34"/>
    <mergeCell ref="A35:B35"/>
    <mergeCell ref="D35:E35"/>
    <mergeCell ref="F35:G35"/>
    <mergeCell ref="A32:B32"/>
    <mergeCell ref="D32:E32"/>
    <mergeCell ref="F32:G32"/>
    <mergeCell ref="A33:B33"/>
    <mergeCell ref="D33:E33"/>
    <mergeCell ref="F33:G33"/>
    <mergeCell ref="A30:B30"/>
    <mergeCell ref="D30:E30"/>
    <mergeCell ref="F30:G30"/>
    <mergeCell ref="A31:B31"/>
    <mergeCell ref="D31:E31"/>
    <mergeCell ref="F31:G31"/>
    <mergeCell ref="A26:B26"/>
    <mergeCell ref="A28:B28"/>
    <mergeCell ref="D28:E28"/>
    <mergeCell ref="F28:G28"/>
    <mergeCell ref="A29:B29"/>
    <mergeCell ref="D29:E29"/>
    <mergeCell ref="F29:G29"/>
    <mergeCell ref="B17:C17"/>
    <mergeCell ref="B18:C18"/>
    <mergeCell ref="B19:C19"/>
    <mergeCell ref="B20:C20"/>
    <mergeCell ref="L5:M5"/>
    <mergeCell ref="B12:C12"/>
    <mergeCell ref="B13:C13"/>
    <mergeCell ref="B14:C14"/>
    <mergeCell ref="B15:C15"/>
    <mergeCell ref="B16:C16"/>
    <mergeCell ref="A1:Q1"/>
    <mergeCell ref="B4:C4"/>
    <mergeCell ref="E4:F4"/>
    <mergeCell ref="H4:I4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7</vt:i4>
      </vt:variant>
    </vt:vector>
  </HeadingPairs>
  <TitlesOfParts>
    <vt:vector size="22" baseType="lpstr">
      <vt:lpstr>DOMINGO</vt:lpstr>
      <vt:lpstr>PLAN.ACCIÓN_D</vt:lpstr>
      <vt:lpstr>LUNES</vt:lpstr>
      <vt:lpstr>PLAN.ACCIÓN_L</vt:lpstr>
      <vt:lpstr>MARTES</vt:lpstr>
      <vt:lpstr>PLAN.ACCIÓN_MA</vt:lpstr>
      <vt:lpstr>MIÉRCOLES</vt:lpstr>
      <vt:lpstr>PLAN.ACCIÓN_MI</vt:lpstr>
      <vt:lpstr>JUEVES</vt:lpstr>
      <vt:lpstr>PLAN.ACCIÓN_J</vt:lpstr>
      <vt:lpstr>VIERNES</vt:lpstr>
      <vt:lpstr>PLAN.ACCIÓN_V</vt:lpstr>
      <vt:lpstr>SÁBADO</vt:lpstr>
      <vt:lpstr>PLAN.ACCIÓN_S</vt:lpstr>
      <vt:lpstr>SEMANAL</vt:lpstr>
      <vt:lpstr>DOMINGO!Print_Area</vt:lpstr>
      <vt:lpstr>JUEVES!Print_Area</vt:lpstr>
      <vt:lpstr>LUNES!Print_Area</vt:lpstr>
      <vt:lpstr>MARTES!Print_Area</vt:lpstr>
      <vt:lpstr>MIÉRCOLES!Print_Area</vt:lpstr>
      <vt:lpstr>SÁBADO!Print_Area</vt:lpstr>
      <vt:lpstr>VIERNES!Print_Area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 Alessandra</dc:creator>
  <cp:lastModifiedBy>MOISES</cp:lastModifiedBy>
  <cp:lastPrinted>2026-05-01T15:01:57Z</cp:lastPrinted>
  <dcterms:created xsi:type="dcterms:W3CDTF">2025-07-29T10:23:25Z</dcterms:created>
  <dcterms:modified xsi:type="dcterms:W3CDTF">2026-08-19T04:05:35Z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2025-07-30T11:22:33Z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1d70e86b-5e9e-4acb-9c00-2b54d2c1fef8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