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OMINGO" sheetId="1" r:id="rId5"/>
    <sheet name="PLAN ACCION DOMINGO" sheetId="2" r:id="rId6"/>
    <sheet name="LUNES" sheetId="3" r:id="rId7"/>
    <sheet name="PLAN ACCION LUNES" sheetId="4" r:id="rId8"/>
    <sheet name="MARTES" sheetId="5" r:id="rId9"/>
    <sheet name="PLAN ACCION MARTES " sheetId="6" r:id="rId10"/>
    <sheet name="MIÉRCOLES" sheetId="7" r:id="rId11"/>
    <sheet name="PLAN ACCION MIÉRCOLES" sheetId="8" r:id="rId12"/>
    <sheet name="JUEVES" sheetId="9" r:id="rId13"/>
    <sheet name="PLAN ACCION JUEVES " sheetId="10" r:id="rId14"/>
    <sheet name="VIERNES" sheetId="11" r:id="rId15"/>
    <sheet name="PLAN ACCION VIERNES" sheetId="12" r:id="rId16"/>
    <sheet name="SÁBADO" sheetId="13" r:id="rId17"/>
    <sheet name="PLAN ACCION SÁBADO " sheetId="14" r:id="rId18"/>
    <sheet name="SEMANAL" sheetId="15" r:id="rId1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<sst xmlns="http://schemas.openxmlformats.org/spreadsheetml/2006/main" uniqueCount="144">
  <si>
    <t>ENFOQUE DIARIO! - Nuestra meta</t>
  </si>
  <si>
    <t>Semana:</t>
  </si>
  <si>
    <t>Día:</t>
  </si>
  <si>
    <t>Tienda:</t>
  </si>
  <si>
    <t>LAS CELDAS EN COLOR VERDE SE LLENAN AUTOMÁTICAMENTE</t>
  </si>
  <si>
    <t>¿QÚE ESPERAMOS LOGRAR HOY?</t>
  </si>
  <si>
    <t>META DEL DÍA</t>
  </si>
  <si>
    <t>CONVERSIÓN (NO NEGOCIABLE)</t>
  </si>
  <si>
    <t>OTROS NO NEGOCIABLES</t>
  </si>
  <si>
    <t>UNIDADES</t>
  </si>
  <si>
    <t>META DIARIA</t>
  </si>
  <si>
    <t>TRÁFICO ESPERADO</t>
  </si>
  <si>
    <t>WEARABLES</t>
  </si>
  <si>
    <t>ANÁLOGOS</t>
  </si>
  <si>
    <t>META DE CONVERSIÓN (LY+1P.P)</t>
  </si>
  <si>
    <t>KIDS</t>
  </si>
  <si>
    <t>META TRANSACCIONES</t>
  </si>
  <si>
    <t>CAREKITS</t>
  </si>
  <si>
    <t>TOTAL DE UNIDADES</t>
  </si>
  <si>
    <t>META IDEAL (NS)*</t>
  </si>
  <si>
    <t>*Si las unidades dan como resultado menor a cero, el objetivo será mínimo una unidad.</t>
  </si>
  <si>
    <t xml:space="preserve">*Si tienes adeudo en la semana puedes ajustar la meta ideal </t>
  </si>
  <si>
    <t>VALORES ACUMULADOS DEL MES (MTD)</t>
  </si>
  <si>
    <t xml:space="preserve"> VALORES DEL DÍA COMP</t>
  </si>
  <si>
    <t>META DE PRODUCTIVIDAD</t>
  </si>
  <si>
    <t>COMP LY</t>
  </si>
  <si>
    <t>ATV</t>
  </si>
  <si>
    <t>VENTA NETA (NS)</t>
  </si>
  <si>
    <t>VENTA NETA LY (NS)</t>
  </si>
  <si>
    <t>AUR</t>
  </si>
  <si>
    <t>APERTURA-12pm</t>
  </si>
  <si>
    <t>1pm - 2pm</t>
  </si>
  <si>
    <t>3pm-4pm</t>
  </si>
  <si>
    <t>5pm-6pm</t>
  </si>
  <si>
    <t>7pm-CIERRE</t>
  </si>
  <si>
    <t>TOTAL</t>
  </si>
  <si>
    <t>TRÁFICO POR HORA</t>
  </si>
  <si>
    <t>PESO DEL TRÁFICO (%)</t>
  </si>
  <si>
    <t>META (NS) X HORA</t>
  </si>
  <si>
    <t>COLABORADORES</t>
  </si>
  <si>
    <t>HORAS PROGRAMADAS</t>
  </si>
  <si>
    <t>META DE VENTA</t>
  </si>
  <si>
    <t>ANALOGOS 
POR VENDER</t>
  </si>
  <si>
    <t>WEARABLES 
POR VENDER</t>
  </si>
  <si>
    <t>KIDS
POR VENDER</t>
  </si>
  <si>
    <t>CK 
POR VENDER</t>
  </si>
  <si>
    <t>Además de cumplir con la meta diaria de la tienda para los No Negociables, cada colaborador debe procurar vender durante su turno al menos:
1 armazón Kids
1 CareKit</t>
  </si>
  <si>
    <t>¿CÓMO VAMOS?</t>
  </si>
  <si>
    <t>TOTAL DEL DÍA</t>
  </si>
  <si>
    <t>META</t>
  </si>
  <si>
    <t>VENTA NETA</t>
  </si>
  <si>
    <t>META UNIDADES</t>
  </si>
  <si>
    <t>VENTA UNIDADES</t>
  </si>
  <si>
    <t>CONVERSION (%)</t>
  </si>
  <si>
    <t>CRECIMIENTO CONVERSION (%)</t>
  </si>
  <si>
    <t>WEARABLES %</t>
  </si>
  <si>
    <t>KIDS%</t>
  </si>
  <si>
    <t>CAREKITS%</t>
  </si>
  <si>
    <t>SLP</t>
  </si>
  <si>
    <t>ONESIGHT</t>
  </si>
  <si>
    <t>COLABORADOR</t>
  </si>
  <si>
    <t>INTERACCIONES DURANTE EL DÍA</t>
  </si>
  <si>
    <t>CLIENTES CONVERTIDOS DURANTE EL DÍA</t>
  </si>
  <si>
    <t>CONVERSION
AL CIERRE</t>
  </si>
  <si>
    <t>VENTA NETA
AL CIERRE</t>
  </si>
  <si>
    <t>UNIDADES ANALOGAS 
AL CIERRE</t>
  </si>
  <si>
    <t>DEMOSTRACIONES WEARABLES 
AL CIERRE</t>
  </si>
  <si>
    <t>UNIDADES WEARABLES 
AL CIERRE</t>
  </si>
  <si>
    <t>CONVERSION WEREABLE</t>
  </si>
  <si>
    <t>KIDS
AL CIERRE</t>
  </si>
  <si>
    <t>CAREKITS
AL CIERRE</t>
  </si>
  <si>
    <t>SLP
EOD</t>
  </si>
  <si>
    <t>0</t>
  </si>
  <si>
    <t>ENFOQUE DIARIO! - Nuestro plan de acción</t>
  </si>
  <si>
    <t>¿QÚE ESPERAMOS PARA EL DÍA DE HOY?</t>
  </si>
  <si>
    <t>META (NS)</t>
  </si>
  <si>
    <t>META PIEZAS</t>
  </si>
  <si>
    <t>META (NS) PRODUCTIVIDAD</t>
  </si>
  <si>
    <t>META UNIDADES PRODUCTIVIDAD</t>
  </si>
  <si>
    <t>¿Cuál debe ser nuestro ritmo de venta hoy?</t>
  </si>
  <si>
    <t>NUESTROS ESTÁNDARES</t>
  </si>
  <si>
    <t>NUESTROS NO NEGOCIABLES</t>
  </si>
  <si>
    <r>
      <rPr>
        <b val="1"/>
        <sz val="10"/>
        <color indexed="8"/>
        <rFont val="Aptos Narrow"/>
      </rPr>
      <t>LIMPIEZA DE LA TIENDA</t>
    </r>
    <r>
      <rPr>
        <sz val="10"/>
        <color indexed="8"/>
        <rFont val="Aptos Narrow"/>
      </rPr>
      <t xml:space="preserve">
</t>
    </r>
    <r>
      <rPr>
        <sz val="10"/>
        <color indexed="8"/>
        <rFont val="Aptos Narrow"/>
      </rPr>
      <t>Barre, limpia y desinfecta. Asegúrate de que la tienda luzca impecable. Pon especial atención al piso de ventas, aparadores, espejos, mobiliario, puerta de acceso, baño y almacén.</t>
    </r>
  </si>
  <si>
    <r>
      <rPr>
        <b val="1"/>
        <sz val="10"/>
        <color indexed="8"/>
        <rFont val="Aptos Narrow"/>
      </rPr>
      <t xml:space="preserve">RECORDATORIO DE ENTRADA Y SALIDA
</t>
    </r>
    <r>
      <rPr>
        <sz val="10"/>
        <color indexed="8"/>
        <rFont val="Aptos Narrow"/>
      </rPr>
      <t>Al iniciar el día, recuerda al equipo registrar su entrada y, al finalizar su turno, registrar su salida. La precisión de estos registros impacta directamente en los indicadores de productividad.</t>
    </r>
  </si>
  <si>
    <r>
      <rPr>
        <b val="1"/>
        <sz val="10"/>
        <color indexed="8"/>
        <rFont val="Aptos Narrow"/>
      </rPr>
      <t>IMAGEN PERSONAL</t>
    </r>
    <r>
      <rPr>
        <sz val="10"/>
        <color indexed="8"/>
        <rFont val="Aptos Narrow"/>
      </rPr>
      <t xml:space="preserve">
</t>
    </r>
    <r>
      <rPr>
        <sz val="10"/>
        <color indexed="8"/>
        <rFont val="Aptos Narrow"/>
      </rPr>
      <t>Somos embajadores de la marca, por lo que nuestra imagen debe reflejar los valores de Sunglass Hut.</t>
    </r>
  </si>
  <si>
    <r>
      <rPr>
        <b val="1"/>
        <sz val="10"/>
        <color indexed="8"/>
        <rFont val="Aptos Narrow"/>
      </rPr>
      <t xml:space="preserve">SIN USO DE TELÉFONOS CELULARES
</t>
    </r>
    <r>
      <rPr>
        <sz val="10"/>
        <color indexed="8"/>
        <rFont val="Aptos Narrow"/>
      </rPr>
      <t>Evita el uso del teléfono personal durante la jornada laboral. La navegación, publicaciones y mensajes personales deben realizarse fuera del horario de trabajo.</t>
    </r>
  </si>
  <si>
    <r>
      <rPr>
        <b val="1"/>
        <sz val="10"/>
        <color indexed="8"/>
        <rFont val="Aptos Narrow"/>
      </rPr>
      <t>REÚNETE CON EL EQUIPO</t>
    </r>
    <r>
      <rPr>
        <sz val="10"/>
        <color indexed="8"/>
        <rFont val="Aptos Narrow"/>
      </rPr>
      <t xml:space="preserve">
</t>
    </r>
    <r>
      <rPr>
        <sz val="10"/>
        <color indexed="8"/>
        <rFont val="Aptos Narrow"/>
      </rPr>
      <t>La junta matutina es clave para tener un gran día. Asegúrate de comunicar: Cómo vamos en la semana y en el mes. La meta del día y las acciones clave para alcanzarla.</t>
    </r>
  </si>
  <si>
    <r>
      <rPr>
        <b val="1"/>
        <sz val="10"/>
        <color indexed="8"/>
        <rFont val="Aptos Narrow"/>
      </rPr>
      <t xml:space="preserve">MANTENTE FUERA DE LA CAJA Y RESPETA TU ZONA (si aplica)
</t>
    </r>
    <r>
      <rPr>
        <sz val="10"/>
        <color indexed="8"/>
        <rFont val="Aptos Narrow"/>
      </rPr>
      <t>A menos que estés realizando una venta en caja, evita permanecer detrás del mostrador. Si tienes una zona asignada, respétala. Mantén una actitud positiva y utiliza tu energía para atraer clientes a la tienda.</t>
    </r>
  </si>
  <si>
    <r>
      <rPr>
        <b val="1"/>
        <sz val="10"/>
        <color indexed="8"/>
        <rFont val="Aptos Narrow"/>
      </rPr>
      <t xml:space="preserve">EL SEGUIMIENTO ES FUNDAMENTAL
</t>
    </r>
    <r>
      <rPr>
        <sz val="10"/>
        <color indexed="8"/>
        <rFont val="Aptos Narrow"/>
      </rPr>
      <t>Durante todo el día da seguimiento al desempeño de cada colaborador. El Store Dashboard es la principal herramienta para monitorear resultados, impulsar el desempeño y reaccionar oportunamente cuando las ventas sean lentas.</t>
    </r>
  </si>
  <si>
    <t>LOS CINCO SECRETOS / BRANDIES</t>
  </si>
  <si>
    <t>CUSTOMER JOURNEY</t>
  </si>
  <si>
    <r>
      <rPr>
        <b val="1"/>
        <sz val="10"/>
        <color indexed="8"/>
        <rFont val="Aptos Narrow"/>
      </rPr>
      <t>PULIR ES PODER</t>
    </r>
    <r>
      <rPr>
        <sz val="10"/>
        <color indexed="8"/>
        <rFont val="Aptos Narrow"/>
      </rPr>
      <t xml:space="preserve">
</t>
    </r>
    <r>
      <rPr>
        <sz val="10"/>
        <color indexed="8"/>
        <rFont val="Aptos Narrow"/>
      </rPr>
      <t>Tu paño de limpieza es una herramienta para generar conexión con el cliente y demostrar el valor del producto. Ofrece limpiar sus lentes al iniciar la conversación para crear una experiencia positiva desde el primer contacto.</t>
    </r>
  </si>
  <si>
    <t>EMPIEZA UNA RELACION</t>
  </si>
  <si>
    <t>GÁNATE SU CONFIANZA</t>
  </si>
  <si>
    <t>GANA LEALTAD</t>
  </si>
  <si>
    <r>
      <rPr>
        <b val="1"/>
        <sz val="10"/>
        <color indexed="8"/>
        <rFont val="Aptos Narrow"/>
      </rPr>
      <t>PÓNTELOS</t>
    </r>
    <r>
      <rPr>
        <sz val="10"/>
        <color indexed="8"/>
        <rFont val="Aptos Narrow"/>
      </rPr>
      <t xml:space="preserve">
</t>
    </r>
    <r>
      <rPr>
        <sz val="10"/>
        <color indexed="8"/>
        <rFont val="Aptos Narrow"/>
      </rPr>
      <t>Cuando el cliente se prueba los productos, aumenta su interés y la intención de compra. Utiliza la bandeja de exhibición para ayudarle a comparar opciones e invítalo a probar diferentes modelos hasta encontrar el ideal.</t>
    </r>
  </si>
  <si>
    <t>INTERACTÚA Y RELACIONA</t>
  </si>
  <si>
    <t>DESCUBRE Y APRENDE</t>
  </si>
  <si>
    <t>VE MÁS ALLÁ</t>
  </si>
  <si>
    <r>
      <rPr>
        <b val="1"/>
        <sz val="10"/>
        <color indexed="8"/>
        <rFont val="Aptos Narrow"/>
      </rPr>
      <t>DIVIÉRTETE MÁS</t>
    </r>
    <r>
      <rPr>
        <sz val="10"/>
        <color indexed="8"/>
        <rFont val="Aptos Narrow"/>
      </rPr>
      <t xml:space="preserve">
</t>
    </r>
    <r>
      <rPr>
        <sz val="10"/>
        <color indexed="8"/>
        <rFont val="Aptos Narrow"/>
      </rPr>
      <t>La venta no termina con el primer par. Aprovecha la oportunidad para mostrar tres o cuatro opciones adicionales y aumentar las posibilidades de realizar una venta múltiple.</t>
    </r>
  </si>
  <si>
    <r>
      <rPr>
        <sz val="10"/>
        <color indexed="8"/>
        <rFont val="Aptos Narrow"/>
      </rPr>
      <t xml:space="preserve">Da la bienvenida </t>
    </r>
    <r>
      <rPr>
        <b val="1"/>
        <sz val="10"/>
        <color indexed="8"/>
        <rFont val="Aptos Narrow"/>
      </rPr>
      <t>genuinamente</t>
    </r>
    <r>
      <rPr>
        <sz val="10"/>
        <color indexed="8"/>
        <rFont val="Aptos Narrow"/>
      </rPr>
      <t>.</t>
    </r>
  </si>
  <si>
    <r>
      <rPr>
        <sz val="10"/>
        <color indexed="8"/>
        <rFont val="Aptos Narrow"/>
      </rPr>
      <t xml:space="preserve">Identifica </t>
    </r>
    <r>
      <rPr>
        <b val="1"/>
        <sz val="10"/>
        <color indexed="8"/>
        <rFont val="Aptos Narrow"/>
      </rPr>
      <t>necesidades</t>
    </r>
    <r>
      <rPr>
        <sz val="10"/>
        <color indexed="8"/>
        <rFont val="Aptos Narrow"/>
      </rPr>
      <t xml:space="preserve"> (emocional/racional).</t>
    </r>
  </si>
  <si>
    <r>
      <rPr>
        <b val="1"/>
        <sz val="10"/>
        <color indexed="8"/>
        <rFont val="Aptos Narrow"/>
      </rPr>
      <t>Guía la compra</t>
    </r>
    <r>
      <rPr>
        <sz val="10"/>
        <color indexed="8"/>
        <rFont val="Aptos Narrow"/>
      </rPr>
      <t xml:space="preserve"> con preguntas cerradas.</t>
    </r>
  </si>
  <si>
    <r>
      <rPr>
        <b val="1"/>
        <sz val="10"/>
        <color indexed="8"/>
        <rFont val="Aptos Narrow"/>
      </rPr>
      <t>CUIDALOS</t>
    </r>
    <r>
      <rPr>
        <sz val="10"/>
        <color indexed="8"/>
        <rFont val="Aptos Narrow"/>
      </rPr>
      <t xml:space="preserve">
</t>
    </r>
    <r>
      <rPr>
        <sz val="10"/>
        <color indexed="8"/>
        <rFont val="Aptos Narrow"/>
      </rPr>
      <t>Enseñar al cliente cómo cuidar sus lentes mejora su experiencia y fortalece tu papel como asesor especializado.</t>
    </r>
  </si>
  <si>
    <t>Observa al cliente y adapta tu acercamiento.</t>
  </si>
  <si>
    <r>
      <rPr>
        <sz val="10"/>
        <color indexed="8"/>
        <rFont val="Aptos Narrow"/>
      </rPr>
      <t xml:space="preserve">Haz </t>
    </r>
    <r>
      <rPr>
        <b val="1"/>
        <sz val="9"/>
        <color indexed="8"/>
        <rFont val="Aptos Narrow"/>
      </rPr>
      <t>preguntas abiertas</t>
    </r>
    <r>
      <rPr>
        <sz val="9"/>
        <color indexed="8"/>
        <rFont val="Aptos Narrow"/>
      </rPr>
      <t>, escucha.</t>
    </r>
  </si>
  <si>
    <r>
      <rPr>
        <sz val="10"/>
        <color indexed="8"/>
        <rFont val="Aptos Narrow"/>
      </rPr>
      <t>Propón</t>
    </r>
    <r>
      <rPr>
        <b val="1"/>
        <sz val="10"/>
        <color indexed="8"/>
        <rFont val="Aptos Narrow"/>
      </rPr>
      <t xml:space="preserve"> formas de pago alternativas</t>
    </r>
    <r>
      <rPr>
        <sz val="10"/>
        <color indexed="8"/>
        <rFont val="Aptos Narrow"/>
      </rPr>
      <t>.</t>
    </r>
  </si>
  <si>
    <r>
      <rPr>
        <b val="1"/>
        <sz val="10"/>
        <color indexed="8"/>
        <rFont val="Aptos Narrow"/>
      </rPr>
      <t>AJUSTE PERFECTO</t>
    </r>
    <r>
      <rPr>
        <sz val="10"/>
        <color indexed="8"/>
        <rFont val="Aptos Narrow"/>
      </rPr>
      <t xml:space="preserve">
</t>
    </r>
    <r>
      <rPr>
        <sz val="10"/>
        <color indexed="8"/>
        <rFont val="Aptos Narrow"/>
      </rPr>
      <t>Un cliente se siente mucho más satisfecho cuando sus lentes quedan perfectamente ajustados. Dedica el tiempo necesario para lograr un ajuste cómodo y personalizado.</t>
    </r>
  </si>
  <si>
    <r>
      <rPr>
        <sz val="10"/>
        <color indexed="8"/>
        <rFont val="Aptos Narrow"/>
      </rPr>
      <t xml:space="preserve">Ofrécete a </t>
    </r>
    <r>
      <rPr>
        <b val="1"/>
        <sz val="10"/>
        <color indexed="8"/>
        <rFont val="Aptos Narrow"/>
      </rPr>
      <t>limpiar y ajustar</t>
    </r>
    <r>
      <rPr>
        <sz val="10"/>
        <color indexed="8"/>
        <rFont val="Aptos Narrow"/>
      </rPr>
      <t xml:space="preserve"> sus gafas.</t>
    </r>
  </si>
  <si>
    <r>
      <rPr>
        <sz val="10"/>
        <color indexed="8"/>
        <rFont val="Aptos Narrow"/>
      </rPr>
      <t xml:space="preserve">Recomienda </t>
    </r>
    <r>
      <rPr>
        <b val="1"/>
        <sz val="10"/>
        <color indexed="8"/>
        <rFont val="Aptos Narrow"/>
      </rPr>
      <t>múltiples</t>
    </r>
    <r>
      <rPr>
        <sz val="10"/>
        <color indexed="8"/>
        <rFont val="Aptos Narrow"/>
      </rPr>
      <t>.</t>
    </r>
  </si>
  <si>
    <r>
      <rPr>
        <sz val="10"/>
        <color indexed="8"/>
        <rFont val="Aptos Narrow"/>
      </rPr>
      <t xml:space="preserve">Demuestra que te </t>
    </r>
    <r>
      <rPr>
        <b val="1"/>
        <sz val="10"/>
        <color indexed="8"/>
        <rFont val="Aptos Narrow"/>
      </rPr>
      <t>preocupas</t>
    </r>
    <r>
      <rPr>
        <sz val="10"/>
        <color indexed="8"/>
        <rFont val="Aptos Narrow"/>
      </rPr>
      <t>, explica cómo cuidar su compra y vuelve a ofrecer Care Kits.</t>
    </r>
  </si>
  <si>
    <r>
      <rPr>
        <sz val="10"/>
        <color indexed="8"/>
        <rFont val="Aptos Narrow"/>
      </rPr>
      <t xml:space="preserve">Descubre el </t>
    </r>
    <r>
      <rPr>
        <b val="1"/>
        <sz val="10"/>
        <color indexed="8"/>
        <rFont val="Aptos Narrow"/>
      </rPr>
      <t>próposito</t>
    </r>
    <r>
      <rPr>
        <sz val="10"/>
        <color indexed="8"/>
        <rFont val="Aptos Narrow"/>
      </rPr>
      <t xml:space="preserve"> de la visita.</t>
    </r>
  </si>
  <si>
    <r>
      <rPr>
        <sz val="10"/>
        <color indexed="8"/>
        <rFont val="Aptos Narrow"/>
      </rPr>
      <t xml:space="preserve">Presenta las características como </t>
    </r>
    <r>
      <rPr>
        <b val="1"/>
        <sz val="10"/>
        <color indexed="8"/>
        <rFont val="Aptos Narrow"/>
      </rPr>
      <t>beneficios</t>
    </r>
    <r>
      <rPr>
        <sz val="10"/>
        <color indexed="8"/>
        <rFont val="Aptos Narrow"/>
      </rPr>
      <t>.</t>
    </r>
  </si>
  <si>
    <r>
      <rPr>
        <sz val="10"/>
        <color indexed="8"/>
        <rFont val="Aptos Narrow"/>
      </rPr>
      <t xml:space="preserve">Registra sus datos para el </t>
    </r>
    <r>
      <rPr>
        <b val="1"/>
        <sz val="10"/>
        <color indexed="8"/>
        <rFont val="Aptos Narrow"/>
      </rPr>
      <t>programa de lealtad</t>
    </r>
    <r>
      <rPr>
        <sz val="10"/>
        <color indexed="8"/>
        <rFont val="Aptos Narrow"/>
      </rPr>
      <t>.</t>
    </r>
  </si>
  <si>
    <r>
      <rPr>
        <sz val="10"/>
        <color indexed="8"/>
        <rFont val="Aptos Narrow"/>
      </rPr>
      <t xml:space="preserve">Presenta </t>
    </r>
    <r>
      <rPr>
        <b val="1"/>
        <sz val="10"/>
        <color indexed="8"/>
        <rFont val="Aptos Narrow"/>
      </rPr>
      <t>Wearables, Smart Shopper y las novedades</t>
    </r>
    <r>
      <rPr>
        <sz val="10"/>
        <color indexed="8"/>
        <rFont val="Aptos Narrow"/>
      </rPr>
      <t>.</t>
    </r>
  </si>
  <si>
    <t>Comparte tu experiencia en formas y estilos.
Aprovecha promociones y realiza venta adicional (Cross Selling).</t>
  </si>
  <si>
    <r>
      <rPr>
        <sz val="10"/>
        <color indexed="8"/>
        <rFont val="Aptos Narrow"/>
      </rPr>
      <t xml:space="preserve">Invítalo a compartir su </t>
    </r>
    <r>
      <rPr>
        <b val="1"/>
        <sz val="10"/>
        <color indexed="8"/>
        <rFont val="Aptos Narrow"/>
      </rPr>
      <t>experiencia de compra</t>
    </r>
    <r>
      <rPr>
        <sz val="10"/>
        <color indexed="8"/>
        <rFont val="Aptos Narrow"/>
      </rPr>
      <t xml:space="preserve"> mediante la encuesta (NPS).</t>
    </r>
  </si>
  <si>
    <r>
      <rPr>
        <sz val="10"/>
        <color indexed="8"/>
        <rFont val="Aptos Narrow"/>
      </rPr>
      <t xml:space="preserve">Ofrece </t>
    </r>
    <r>
      <rPr>
        <b val="1"/>
        <sz val="10"/>
        <color indexed="8"/>
        <rFont val="Aptos Narrow"/>
      </rPr>
      <t>Care Kits</t>
    </r>
    <r>
      <rPr>
        <sz val="10"/>
        <color indexed="8"/>
        <rFont val="Aptos Narrow"/>
      </rPr>
      <t>.</t>
    </r>
  </si>
  <si>
    <r>
      <rPr>
        <sz val="10"/>
        <color indexed="8"/>
        <rFont val="Aptos Narrow"/>
      </rPr>
      <t xml:space="preserve">Invítalo a regresar para </t>
    </r>
    <r>
      <rPr>
        <b val="1"/>
        <sz val="10"/>
        <color indexed="8"/>
        <rFont val="Aptos Narrow"/>
      </rPr>
      <t>futuras compras</t>
    </r>
    <r>
      <rPr>
        <sz val="10"/>
        <color indexed="8"/>
        <rFont val="Aptos Narrow"/>
      </rPr>
      <t xml:space="preserve"> y seguimiento a </t>
    </r>
    <r>
      <rPr>
        <b val="1"/>
        <sz val="10"/>
        <color indexed="8"/>
        <rFont val="Aptos Narrow"/>
      </rPr>
      <t>posibles garantías</t>
    </r>
    <r>
      <rPr>
        <sz val="10"/>
        <color indexed="8"/>
        <rFont val="Aptos Narrow"/>
      </rPr>
      <t>.</t>
    </r>
  </si>
  <si>
    <r>
      <rPr>
        <sz val="10"/>
        <color indexed="8"/>
        <rFont val="Aptos Narrow"/>
      </rPr>
      <t xml:space="preserve">Gestiona las </t>
    </r>
    <r>
      <rPr>
        <b val="1"/>
        <sz val="10"/>
        <color indexed="8"/>
        <rFont val="Aptos Narrow"/>
      </rPr>
      <t>objeciones</t>
    </r>
    <r>
      <rPr>
        <sz val="10"/>
        <color indexed="8"/>
        <rFont val="Aptos Narrow"/>
      </rPr>
      <t xml:space="preserve"> como </t>
    </r>
    <r>
      <rPr>
        <b val="1"/>
        <sz val="10"/>
        <color indexed="8"/>
        <rFont val="Aptos Narrow"/>
      </rPr>
      <t>oportunidades</t>
    </r>
    <r>
      <rPr>
        <sz val="10"/>
        <color indexed="8"/>
        <rFont val="Aptos Narrow"/>
      </rPr>
      <t>.</t>
    </r>
  </si>
  <si>
    <t>TU ENFOQUE PARA HOY</t>
  </si>
  <si>
    <t>S: ESPECÍFICO</t>
  </si>
  <si>
    <t>M: MEDIBLE</t>
  </si>
  <si>
    <t>A: ALCANZABLE</t>
  </si>
  <si>
    <t>R: RETO</t>
  </si>
  <si>
    <t>T: TIEMPO</t>
  </si>
  <si>
    <t>LOGROS DE HOY Y OPORTUNIDADES PARA MAÑANA</t>
  </si>
  <si>
    <t>ENFOQUE SEMANAL</t>
  </si>
  <si>
    <t>SEMANAL</t>
  </si>
  <si>
    <t>CONVERSIÓN SEMANAL</t>
  </si>
  <si>
    <t>META SEMANAL</t>
  </si>
  <si>
    <t>SEMANAL (NS)</t>
  </si>
  <si>
    <t xml:space="preserve"> VALORES DE SEMANA COMP</t>
  </si>
  <si>
    <t>TOTAL DE SEMANA</t>
  </si>
  <si>
    <t>INTERACCIONES DURANTE LA SEMANA</t>
  </si>
  <si>
    <t>CLIENTES CONVERTIDOS DURANTE LA SEMANA</t>
  </si>
  <si>
    <t>CONVERSION
AL CIERRE DE SEMANA</t>
  </si>
  <si>
    <t>VENTA NETA
AL CIERRE DE SEMANA</t>
  </si>
  <si>
    <t>UNIDADES ANALOGAS 
AL CIERRE DE SEMANA</t>
  </si>
  <si>
    <t>DEMOSTRACIONES WEARABLES 
AL CIERRE DE SEMANA</t>
  </si>
  <si>
    <t>UNIDADES WEARABLES 
AL CIERRE DE SEMANA</t>
  </si>
  <si>
    <t>CONVERSION WEREABLE AL CIERRE DE SEMANA</t>
  </si>
  <si>
    <t>KIDS
AL CIERRE DE SEMANA</t>
  </si>
  <si>
    <t>CAREKITS
AL CIERRE DE SEMANA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</si>
</sst>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&quot; &quot;;&quot;-&quot;* #,##0&quot; &quot;;&quot; &quot;* &quot;-&quot;??&quot; &quot;"/>
    <numFmt numFmtId="60" formatCode="#,##0.0"/>
    <numFmt numFmtId="61" formatCode="0.0"/>
  </numFmts>
  <fonts count="3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20"/>
      <color indexed="8"/>
      <name val="Aptos Narrow"/>
    </font>
    <font>
      <b val="1"/>
      <sz val="19"/>
      <color indexed="8"/>
      <name val="Aptos Narrow"/>
    </font>
    <font>
      <b val="1"/>
      <sz val="20"/>
      <color indexed="8"/>
      <name val="Aptos Narrow"/>
    </font>
    <font>
      <b val="1"/>
      <sz val="17"/>
      <color indexed="9"/>
      <name val="Aptos Narrow"/>
    </font>
    <font>
      <b val="1"/>
      <sz val="17"/>
      <color indexed="8"/>
      <name val="Calibri"/>
    </font>
    <font>
      <b val="1"/>
      <sz val="12"/>
      <color indexed="13"/>
      <name val="Aptos Narrow"/>
    </font>
    <font>
      <b val="1"/>
      <sz val="13"/>
      <color indexed="8"/>
      <name val="Aptos Narrow"/>
    </font>
    <font>
      <b val="1"/>
      <i val="1"/>
      <sz val="17"/>
      <color indexed="8"/>
      <name val="Aptos Narrow"/>
    </font>
    <font>
      <b val="1"/>
      <sz val="15"/>
      <color indexed="9"/>
      <name val="Aptos Narrow"/>
    </font>
    <font>
      <b val="1"/>
      <sz val="14"/>
      <color indexed="8"/>
      <name val="Aptos Narrow"/>
    </font>
    <font>
      <b val="1"/>
      <sz val="17"/>
      <color indexed="8"/>
      <name val="Aptos Narrow"/>
    </font>
    <font>
      <b val="1"/>
      <sz val="12"/>
      <color indexed="9"/>
      <name val="Aptos Narrow"/>
    </font>
    <font>
      <b val="1"/>
      <sz val="11"/>
      <color indexed="9"/>
      <name val="Aptos Narrow"/>
    </font>
    <font>
      <sz val="10"/>
      <color indexed="8"/>
      <name val="Aptos Narrow"/>
    </font>
    <font>
      <b val="1"/>
      <u val="single"/>
      <sz val="24"/>
      <color indexed="8"/>
      <name val="Aptos Narrow"/>
    </font>
    <font>
      <b val="1"/>
      <u val="single"/>
      <sz val="22"/>
      <color indexed="8"/>
      <name val="Aptos Narrow"/>
    </font>
    <font>
      <b val="1"/>
      <u val="single"/>
      <sz val="10"/>
      <color indexed="8"/>
      <name val="Aptos Narrow"/>
    </font>
    <font>
      <b val="1"/>
      <sz val="36"/>
      <color indexed="8"/>
      <name val="Aptos Narrow"/>
    </font>
    <font>
      <b val="1"/>
      <sz val="11"/>
      <color indexed="8"/>
      <name val="Aptos Narrow"/>
    </font>
    <font>
      <sz val="14"/>
      <color indexed="8"/>
      <name val="Aptos Narrow"/>
    </font>
    <font>
      <sz val="12"/>
      <color indexed="8"/>
      <name val="Aptos Narrow"/>
    </font>
    <font>
      <b val="1"/>
      <sz val="22"/>
      <color indexed="8"/>
      <name val="Aptos Narrow"/>
    </font>
    <font>
      <b val="1"/>
      <sz val="10"/>
      <color indexed="8"/>
      <name val="Aptos Narrow"/>
    </font>
    <font>
      <sz val="9"/>
      <color indexed="8"/>
      <name val="Aptos Narrow"/>
    </font>
    <font>
      <b val="1"/>
      <sz val="9"/>
      <color indexed="8"/>
      <name val="Aptos Narrow"/>
    </font>
    <font>
      <sz val="8"/>
      <color indexed="8"/>
      <name val="Aptos Narrow"/>
    </font>
    <font>
      <sz val="15"/>
      <color indexed="9"/>
      <name val="Aptos Narrow"/>
    </font>
    <font>
      <b val="1"/>
      <sz val="12"/>
      <color indexed="8"/>
      <name val="Calibri"/>
    </font>
    <font>
      <b val="1"/>
      <sz val="16"/>
      <color indexed="8"/>
      <name val="Aptos Narrow"/>
    </font>
    <font>
      <b val="1"/>
      <sz val="12"/>
      <color indexed="8"/>
      <name val="Aptos Narrow"/>
    </font>
    <font>
      <sz val="16"/>
      <color indexed="8"/>
      <name val="Aptos Narrow"/>
    </font>
    <font>
      <b val="1"/>
      <sz val="10"/>
      <color indexed="9"/>
      <name val="Aptos Narrow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</fills>
  <borders count="10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medium">
        <color indexed="11"/>
      </bottom>
      <diagonal/>
    </border>
    <border>
      <left/>
      <right/>
      <top style="thin">
        <color indexed="10"/>
      </top>
      <bottom style="medium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medium">
        <color indexed="11"/>
      </left>
      <right/>
      <top style="medium">
        <color indexed="11"/>
      </top>
      <bottom style="medium">
        <color indexed="11"/>
      </bottom>
      <diagonal/>
    </border>
    <border>
      <left/>
      <right/>
      <top style="medium">
        <color indexed="11"/>
      </top>
      <bottom style="medium">
        <color indexed="11"/>
      </bottom>
      <diagonal/>
    </border>
    <border>
      <left/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medium">
        <color indexed="11"/>
      </top>
      <bottom/>
      <diagonal/>
    </border>
    <border>
      <left/>
      <right/>
      <top style="medium">
        <color indexed="11"/>
      </top>
      <bottom style="medium">
        <color indexed="8"/>
      </bottom>
      <diagonal/>
    </border>
    <border>
      <left/>
      <right/>
      <top style="medium">
        <color indexed="11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11"/>
      </bottom>
      <diagonal/>
    </border>
    <border>
      <left style="thin">
        <color indexed="10"/>
      </left>
      <right style="medium">
        <color indexed="11"/>
      </right>
      <top/>
      <bottom/>
      <diagonal/>
    </border>
    <border>
      <left style="medium">
        <color indexed="11"/>
      </left>
      <right/>
      <top style="medium">
        <color indexed="11"/>
      </top>
      <bottom/>
      <diagonal/>
    </border>
    <border>
      <left/>
      <right style="medium">
        <color indexed="11"/>
      </right>
      <top style="medium">
        <color indexed="11"/>
      </top>
      <bottom/>
      <diagonal/>
    </border>
    <border>
      <left style="medium">
        <color indexed="1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11"/>
      </left>
      <right/>
      <top/>
      <bottom style="medium">
        <color indexed="11"/>
      </bottom>
      <diagonal/>
    </border>
    <border>
      <left/>
      <right style="medium">
        <color indexed="11"/>
      </right>
      <top/>
      <bottom style="medium">
        <color indexed="11"/>
      </bottom>
      <diagonal/>
    </border>
    <border>
      <left style="medium">
        <color indexed="11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11"/>
      </bottom>
      <diagonal/>
    </border>
    <border>
      <left style="medium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medium">
        <color indexed="11"/>
      </right>
      <top/>
      <bottom style="thin">
        <color indexed="10"/>
      </bottom>
      <diagonal/>
    </border>
    <border>
      <left style="medium">
        <color indexed="11"/>
      </left>
      <right style="thin">
        <color indexed="11"/>
      </right>
      <top style="thin">
        <color indexed="11"/>
      </top>
      <bottom style="medium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11"/>
      </bottom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medium">
        <color indexed="11"/>
      </bottom>
      <diagonal/>
    </border>
    <border>
      <left/>
      <right style="medium">
        <color indexed="8"/>
      </right>
      <top style="medium">
        <color indexed="8"/>
      </top>
      <bottom style="medium">
        <color indexed="11"/>
      </bottom>
      <diagonal/>
    </border>
    <border>
      <left style="medium">
        <color indexed="8"/>
      </left>
      <right/>
      <top style="thin">
        <color indexed="10"/>
      </top>
      <bottom/>
      <diagonal/>
    </border>
    <border>
      <left style="medium">
        <color indexed="11"/>
      </left>
      <right style="thin">
        <color indexed="10"/>
      </right>
      <top style="medium">
        <color indexed="11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medium">
        <color indexed="11"/>
      </bottom>
      <diagonal/>
    </border>
    <border>
      <left style="thin">
        <color indexed="10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0"/>
      </right>
      <top/>
      <bottom/>
      <diagonal/>
    </border>
    <border>
      <left/>
      <right style="medium">
        <color indexed="11"/>
      </right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medium">
        <color indexed="11"/>
      </left>
      <right/>
      <top style="medium">
        <color indexed="8"/>
      </top>
      <bottom/>
      <diagonal/>
    </border>
    <border>
      <left/>
      <right style="medium">
        <color indexed="11"/>
      </right>
      <top style="medium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medium">
        <color indexed="11"/>
      </left>
      <right/>
      <top/>
      <bottom style="thin">
        <color indexed="10"/>
      </bottom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3" fillId="2" borderId="2" applyNumberFormat="0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horizontal="center" vertical="center" wrapText="1"/>
    </xf>
    <xf numFmtId="0" fontId="4" fillId="3" borderId="2" applyNumberFormat="0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49" fontId="5" fillId="2" borderId="5" applyNumberFormat="1" applyFont="1" applyFill="1" applyBorder="1" applyAlignment="1" applyProtection="0">
      <alignment horizontal="center" vertical="center" wrapText="1"/>
    </xf>
    <xf numFmtId="0" fontId="5" fillId="2" borderId="6" applyNumberFormat="0" applyFont="1" applyFill="1" applyBorder="1" applyAlignment="1" applyProtection="0">
      <alignment horizontal="center" vertical="center" wrapText="1"/>
    </xf>
    <xf numFmtId="0" fontId="5" fillId="2" borderId="7" applyNumberFormat="0" applyFont="1" applyFill="1" applyBorder="1" applyAlignment="1" applyProtection="0">
      <alignment horizontal="center" vertical="center" wrapText="1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9" applyNumberFormat="0" applyFont="1" applyFill="1" applyBorder="1" applyAlignment="1" applyProtection="0">
      <alignment vertical="center" wrapText="1"/>
    </xf>
    <xf numFmtId="0" fontId="0" fillId="2" borderId="10" applyNumberFormat="0" applyFont="1" applyFill="1" applyBorder="1" applyAlignment="1" applyProtection="0">
      <alignment vertical="center" wrapText="1"/>
    </xf>
    <xf numFmtId="0" fontId="0" fillId="2" borderId="11" applyNumberFormat="0" applyFont="1" applyFill="1" applyBorder="1" applyAlignment="1" applyProtection="0">
      <alignment vertical="center" wrapText="1"/>
    </xf>
    <xf numFmtId="0" fontId="0" fillId="2" borderId="12" applyNumberFormat="0" applyFont="1" applyFill="1" applyBorder="1" applyAlignment="1" applyProtection="0">
      <alignment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0" fontId="0" fillId="2" borderId="14" applyNumberFormat="0" applyFont="1" applyFill="1" applyBorder="1" applyAlignment="1" applyProtection="0">
      <alignment vertical="center" wrapText="1"/>
    </xf>
    <xf numFmtId="49" fontId="6" fillId="4" borderId="15" applyNumberFormat="1" applyFont="1" applyFill="1" applyBorder="1" applyAlignment="1" applyProtection="0">
      <alignment horizontal="center" vertical="center" wrapText="1"/>
    </xf>
    <xf numFmtId="0" fontId="6" fillId="4" borderId="16" applyNumberFormat="0" applyFont="1" applyFill="1" applyBorder="1" applyAlignment="1" applyProtection="0">
      <alignment horizontal="center" vertical="center" wrapText="1"/>
    </xf>
    <xf numFmtId="0" fontId="6" fillId="4" borderId="17" applyNumberFormat="0" applyFont="1" applyFill="1" applyBorder="1" applyAlignment="1" applyProtection="0">
      <alignment horizontal="center" vertical="center" wrapText="1"/>
    </xf>
    <xf numFmtId="0" fontId="0" fillId="2" borderId="18" applyNumberFormat="0" applyFont="1" applyFill="1" applyBorder="1" applyAlignment="1" applyProtection="0">
      <alignment vertical="center" wrapText="1"/>
    </xf>
    <xf numFmtId="0" fontId="0" fillId="2" borderId="19" applyNumberFormat="0" applyFont="1" applyFill="1" applyBorder="1" applyAlignment="1" applyProtection="0">
      <alignment vertical="center" wrapText="1"/>
    </xf>
    <xf numFmtId="49" fontId="6" fillId="4" borderId="20" applyNumberFormat="1" applyFont="1" applyFill="1" applyBorder="1" applyAlignment="1" applyProtection="0">
      <alignment horizontal="center" vertical="center" wrapText="1"/>
    </xf>
    <xf numFmtId="0" fontId="6" fillId="4" borderId="21" applyNumberFormat="0" applyFont="1" applyFill="1" applyBorder="1" applyAlignment="1" applyProtection="0">
      <alignment horizontal="center" vertical="center" wrapText="1"/>
    </xf>
    <xf numFmtId="0" fontId="6" fillId="4" borderId="22" applyNumberFormat="0" applyFont="1" applyFill="1" applyBorder="1" applyAlignment="1" applyProtection="0">
      <alignment horizontal="center" vertical="center" wrapText="1"/>
    </xf>
    <xf numFmtId="0" fontId="0" fillId="2" borderId="23" applyNumberFormat="0" applyFont="1" applyFill="1" applyBorder="1" applyAlignment="1" applyProtection="0">
      <alignment vertical="center" wrapText="1"/>
    </xf>
    <xf numFmtId="49" fontId="6" fillId="4" borderId="17" applyNumberFormat="1" applyFont="1" applyFill="1" applyBorder="1" applyAlignment="1" applyProtection="0">
      <alignment horizontal="center" vertical="center" wrapText="1"/>
    </xf>
    <xf numFmtId="49" fontId="7" fillId="2" borderId="24" applyNumberFormat="1" applyFont="1" applyFill="1" applyBorder="1" applyAlignment="1" applyProtection="0">
      <alignment horizontal="center" vertical="center" wrapText="1"/>
    </xf>
    <xf numFmtId="0" fontId="7" fillId="2" borderId="25" applyNumberFormat="0" applyFont="1" applyFill="1" applyBorder="1" applyAlignment="1" applyProtection="0">
      <alignment horizontal="center" vertical="center" wrapText="1"/>
    </xf>
    <xf numFmtId="3" fontId="0" fillId="2" borderId="26" applyNumberFormat="1" applyFont="1" applyFill="1" applyBorder="1" applyAlignment="1" applyProtection="0">
      <alignment vertical="center" wrapText="1"/>
    </xf>
    <xf numFmtId="49" fontId="7" fillId="2" borderId="27" applyNumberFormat="1" applyFont="1" applyFill="1" applyBorder="1" applyAlignment="1" applyProtection="0">
      <alignment horizontal="center" vertical="center" wrapText="1"/>
    </xf>
    <xf numFmtId="0" fontId="7" fillId="2" borderId="28" applyNumberFormat="0" applyFont="1" applyFill="1" applyBorder="1" applyAlignment="1" applyProtection="0">
      <alignment horizontal="center" vertical="center" wrapText="1"/>
    </xf>
    <xf numFmtId="0" fontId="7" fillId="2" borderId="29" applyNumberFormat="0" applyFont="1" applyFill="1" applyBorder="1" applyAlignment="1" applyProtection="0">
      <alignment horizontal="center" vertical="center" wrapText="1"/>
    </xf>
    <xf numFmtId="9" fontId="0" fillId="3" borderId="25" applyNumberFormat="1" applyFont="1" applyFill="1" applyBorder="1" applyAlignment="1" applyProtection="0">
      <alignment vertical="center" wrapText="1"/>
    </xf>
    <xf numFmtId="3" fontId="0" fillId="3" borderId="26" applyNumberFormat="1" applyFont="1" applyFill="1" applyBorder="1" applyAlignment="1" applyProtection="0">
      <alignment vertical="center" wrapText="1"/>
    </xf>
    <xf numFmtId="59" fontId="0" fillId="3" borderId="26" applyNumberFormat="1" applyFont="1" applyFill="1" applyBorder="1" applyAlignment="1" applyProtection="0">
      <alignment vertical="center" wrapText="1"/>
    </xf>
    <xf numFmtId="49" fontId="0" fillId="2" borderId="27" applyNumberFormat="1" applyFont="1" applyFill="1" applyBorder="1" applyAlignment="1" applyProtection="0">
      <alignment vertical="center" wrapText="1"/>
    </xf>
    <xf numFmtId="0" fontId="0" fillId="2" borderId="28" applyNumberFormat="0" applyFont="1" applyFill="1" applyBorder="1" applyAlignment="1" applyProtection="0">
      <alignment vertical="center" wrapText="1"/>
    </xf>
    <xf numFmtId="0" fontId="0" fillId="2" borderId="29" applyNumberFormat="0" applyFont="1" applyFill="1" applyBorder="1" applyAlignment="1" applyProtection="0">
      <alignment vertical="center" wrapText="1"/>
    </xf>
    <xf numFmtId="9" fontId="0" fillId="2" borderId="26" applyNumberFormat="1" applyFont="1" applyFill="1" applyBorder="1" applyAlignment="1" applyProtection="0">
      <alignment vertical="center" wrapText="1"/>
    </xf>
    <xf numFmtId="49" fontId="0" fillId="2" borderId="24" applyNumberFormat="1" applyFont="1" applyFill="1" applyBorder="1" applyAlignment="1" applyProtection="0">
      <alignment vertical="center" wrapText="1"/>
    </xf>
    <xf numFmtId="0" fontId="0" fillId="2" borderId="25" applyNumberFormat="0" applyFont="1" applyFill="1" applyBorder="1" applyAlignment="1" applyProtection="0">
      <alignment vertical="center" wrapText="1"/>
    </xf>
    <xf numFmtId="1" fontId="0" fillId="3" borderId="26" applyNumberFormat="1" applyFont="1" applyFill="1" applyBorder="1" applyAlignment="1" applyProtection="0">
      <alignment vertical="center" wrapText="1"/>
    </xf>
    <xf numFmtId="49" fontId="0" fillId="2" borderId="30" applyNumberFormat="1" applyFont="1" applyFill="1" applyBorder="1" applyAlignment="1" applyProtection="0">
      <alignment vertical="center" wrapText="1"/>
    </xf>
    <xf numFmtId="0" fontId="0" fillId="2" borderId="31" applyNumberFormat="0" applyFont="1" applyFill="1" applyBorder="1" applyAlignment="1" applyProtection="0">
      <alignment vertical="center" wrapText="1"/>
    </xf>
    <xf numFmtId="9" fontId="0" fillId="3" borderId="31" applyNumberFormat="1" applyFont="1" applyFill="1" applyBorder="1" applyAlignment="1" applyProtection="0">
      <alignment vertical="center" wrapText="1"/>
    </xf>
    <xf numFmtId="3" fontId="0" fillId="3" borderId="32" applyNumberFormat="1" applyFont="1" applyFill="1" applyBorder="1" applyAlignment="1" applyProtection="0">
      <alignment vertical="center" wrapText="1"/>
    </xf>
    <xf numFmtId="49" fontId="0" fillId="2" borderId="33" applyNumberFormat="1" applyFont="1" applyFill="1" applyBorder="1" applyAlignment="1" applyProtection="0">
      <alignment vertical="center" wrapText="1"/>
    </xf>
    <xf numFmtId="0" fontId="0" fillId="2" borderId="34" applyNumberFormat="0" applyFont="1" applyFill="1" applyBorder="1" applyAlignment="1" applyProtection="0">
      <alignment vertical="center" wrapText="1"/>
    </xf>
    <xf numFmtId="0" fontId="0" fillId="2" borderId="35" applyNumberFormat="0" applyFont="1" applyFill="1" applyBorder="1" applyAlignment="1" applyProtection="0">
      <alignment vertical="center" wrapText="1"/>
    </xf>
    <xf numFmtId="49" fontId="8" fillId="2" borderId="36" applyNumberFormat="1" applyFont="1" applyFill="1" applyBorder="1" applyAlignment="1" applyProtection="0">
      <alignment horizontal="center" vertical="center" wrapText="1"/>
    </xf>
    <xf numFmtId="9" fontId="8" fillId="2" borderId="36" applyNumberFormat="1" applyFont="1" applyFill="1" applyBorder="1" applyAlignment="1" applyProtection="0">
      <alignment horizontal="center" vertical="center" wrapText="1"/>
    </xf>
    <xf numFmtId="0" fontId="0" fillId="2" borderId="37" applyNumberFormat="0" applyFont="1" applyFill="1" applyBorder="1" applyAlignment="1" applyProtection="0">
      <alignment vertical="center" wrapText="1"/>
    </xf>
    <xf numFmtId="0" fontId="0" fillId="2" borderId="36" applyNumberFormat="0" applyFont="1" applyFill="1" applyBorder="1" applyAlignment="1" applyProtection="0">
      <alignment vertical="center" wrapText="1"/>
    </xf>
    <xf numFmtId="1" fontId="0" fillId="2" borderId="9" applyNumberFormat="1" applyFont="1" applyFill="1" applyBorder="1" applyAlignment="1" applyProtection="0">
      <alignment vertical="center" wrapText="1"/>
    </xf>
    <xf numFmtId="0" fontId="0" fillId="2" borderId="38" applyNumberFormat="0" applyFont="1" applyFill="1" applyBorder="1" applyAlignment="1" applyProtection="0">
      <alignment vertical="center" wrapText="1"/>
    </xf>
    <xf numFmtId="49" fontId="9" fillId="2" borderId="38" applyNumberFormat="1" applyFont="1" applyFill="1" applyBorder="1" applyAlignment="1" applyProtection="0">
      <alignment horizontal="center" vertical="center" wrapText="1"/>
    </xf>
    <xf numFmtId="0" fontId="9" fillId="2" borderId="38" applyNumberFormat="0" applyFont="1" applyFill="1" applyBorder="1" applyAlignment="1" applyProtection="0">
      <alignment horizontal="center" vertical="center" wrapText="1"/>
    </xf>
    <xf numFmtId="49" fontId="6" fillId="4" borderId="39" applyNumberFormat="1" applyFont="1" applyFill="1" applyBorder="1" applyAlignment="1" applyProtection="0">
      <alignment horizontal="center" vertical="center" wrapText="1"/>
    </xf>
    <xf numFmtId="0" fontId="6" fillId="4" borderId="36" applyNumberFormat="0" applyFont="1" applyFill="1" applyBorder="1" applyAlignment="1" applyProtection="0">
      <alignment horizontal="center" vertical="center" wrapText="1"/>
    </xf>
    <xf numFmtId="0" fontId="6" fillId="4" borderId="40" applyNumberFormat="0" applyFont="1" applyFill="1" applyBorder="1" applyAlignment="1" applyProtection="0">
      <alignment horizontal="center" vertical="center" wrapText="1"/>
    </xf>
    <xf numFmtId="49" fontId="6" fillId="4" borderId="41" applyNumberFormat="1" applyFont="1" applyFill="1" applyBorder="1" applyAlignment="1" applyProtection="0">
      <alignment horizontal="center" vertical="center" wrapText="1"/>
    </xf>
    <xf numFmtId="0" fontId="6" fillId="4" borderId="42" applyNumberFormat="0" applyFont="1" applyFill="1" applyBorder="1" applyAlignment="1" applyProtection="0">
      <alignment horizontal="center" vertical="center" wrapText="1"/>
    </xf>
    <xf numFmtId="3" fontId="0" fillId="3" borderId="43" applyNumberFormat="1" applyFont="1" applyFill="1" applyBorder="1" applyAlignment="1" applyProtection="0">
      <alignment vertical="center" wrapText="1"/>
    </xf>
    <xf numFmtId="3" fontId="0" fillId="3" borderId="44" applyNumberFormat="1" applyFont="1" applyFill="1" applyBorder="1" applyAlignment="1" applyProtection="0">
      <alignment vertical="center" wrapText="1"/>
    </xf>
    <xf numFmtId="49" fontId="7" fillId="2" borderId="45" applyNumberFormat="1" applyFont="1" applyFill="1" applyBorder="1" applyAlignment="1" applyProtection="0">
      <alignment horizontal="center" vertical="center" wrapText="1"/>
    </xf>
    <xf numFmtId="0" fontId="7" fillId="2" borderId="46" applyNumberFormat="0" applyFont="1" applyFill="1" applyBorder="1" applyAlignment="1" applyProtection="0">
      <alignment horizontal="center" vertical="center" wrapText="1"/>
    </xf>
    <xf numFmtId="3" fontId="0" fillId="2" borderId="47" applyNumberFormat="1" applyFont="1" applyFill="1" applyBorder="1" applyAlignment="1" applyProtection="0">
      <alignment vertical="center" wrapText="1"/>
    </xf>
    <xf numFmtId="3" fontId="0" fillId="2" borderId="48" applyNumberFormat="1" applyFont="1" applyFill="1" applyBorder="1" applyAlignment="1" applyProtection="0">
      <alignment vertical="center" wrapText="1"/>
    </xf>
    <xf numFmtId="0" fontId="0" fillId="2" borderId="41" applyNumberFormat="0" applyFont="1" applyFill="1" applyBorder="1" applyAlignment="1" applyProtection="0">
      <alignment vertical="center" wrapText="1"/>
    </xf>
    <xf numFmtId="0" fontId="0" fillId="2" borderId="42" applyNumberFormat="0" applyFont="1" applyFill="1" applyBorder="1" applyAlignment="1" applyProtection="0">
      <alignment vertical="center" wrapText="1"/>
    </xf>
    <xf numFmtId="60" fontId="0" fillId="3" borderId="49" applyNumberFormat="1" applyFont="1" applyFill="1" applyBorder="1" applyAlignment="1" applyProtection="0">
      <alignment vertical="center" wrapText="1"/>
    </xf>
    <xf numFmtId="60" fontId="0" fillId="3" borderId="50" applyNumberFormat="1" applyFont="1" applyFill="1" applyBorder="1" applyAlignment="1" applyProtection="0">
      <alignment vertical="center" wrapText="1"/>
    </xf>
    <xf numFmtId="0" fontId="10" fillId="2" borderId="36" applyNumberFormat="0" applyFont="1" applyFill="1" applyBorder="1" applyAlignment="1" applyProtection="0">
      <alignment horizontal="center" vertical="center" wrapText="1"/>
    </xf>
    <xf numFmtId="0" fontId="10" fillId="2" borderId="9" applyNumberFormat="0" applyFont="1" applyFill="1" applyBorder="1" applyAlignment="1" applyProtection="0">
      <alignment horizontal="center" vertical="center" wrapText="1"/>
    </xf>
    <xf numFmtId="0" fontId="0" fillId="2" borderId="48" applyNumberFormat="0" applyFont="1" applyFill="1" applyBorder="1" applyAlignment="1" applyProtection="0">
      <alignment vertical="center" wrapText="1"/>
    </xf>
    <xf numFmtId="49" fontId="11" fillId="4" borderId="51" applyNumberFormat="1" applyFont="1" applyFill="1" applyBorder="1" applyAlignment="1" applyProtection="0">
      <alignment horizontal="center" vertical="center" wrapText="1"/>
    </xf>
    <xf numFmtId="49" fontId="11" fillId="4" borderId="52" applyNumberFormat="1" applyFont="1" applyFill="1" applyBorder="1" applyAlignment="1" applyProtection="0">
      <alignment horizontal="center" vertical="center" wrapText="1"/>
    </xf>
    <xf numFmtId="49" fontId="11" fillId="4" borderId="53" applyNumberFormat="1" applyFont="1" applyFill="1" applyBorder="1" applyAlignment="1" applyProtection="0">
      <alignment horizontal="center" vertical="center" wrapText="1"/>
    </xf>
    <xf numFmtId="0" fontId="10" fillId="2" borderId="18" applyNumberFormat="0" applyFont="1" applyFill="1" applyBorder="1" applyAlignment="1" applyProtection="0">
      <alignment horizontal="center" vertical="center" wrapText="1"/>
    </xf>
    <xf numFmtId="49" fontId="12" fillId="2" borderId="54" applyNumberFormat="1" applyFont="1" applyFill="1" applyBorder="1" applyAlignment="1" applyProtection="0">
      <alignment horizontal="center" vertical="center" wrapText="1"/>
    </xf>
    <xf numFmtId="0" fontId="0" fillId="2" borderId="15" applyNumberFormat="0" applyFont="1" applyFill="1" applyBorder="1" applyAlignment="1" applyProtection="0">
      <alignment vertical="center" wrapText="1"/>
    </xf>
    <xf numFmtId="0" fontId="0" fillId="2" borderId="16" applyNumberFormat="0" applyFont="1" applyFill="1" applyBorder="1" applyAlignment="1" applyProtection="0">
      <alignment vertical="center" wrapText="1"/>
    </xf>
    <xf numFmtId="3" fontId="0" fillId="2" borderId="16" applyNumberFormat="1" applyFont="1" applyFill="1" applyBorder="1" applyAlignment="1" applyProtection="0">
      <alignment vertical="center" wrapText="1"/>
    </xf>
    <xf numFmtId="0" fontId="0" fillId="3" borderId="17" applyNumberFormat="1" applyFont="1" applyFill="1" applyBorder="1" applyAlignment="1" applyProtection="0">
      <alignment vertical="center" wrapText="1"/>
    </xf>
    <xf numFmtId="49" fontId="12" fillId="2" borderId="55" applyNumberFormat="1" applyFont="1" applyFill="1" applyBorder="1" applyAlignment="1" applyProtection="0">
      <alignment horizontal="center" vertical="center" wrapText="1"/>
    </xf>
    <xf numFmtId="9" fontId="0" fillId="3" borderId="24" applyNumberFormat="1" applyFont="1" applyFill="1" applyBorder="1" applyAlignment="1" applyProtection="0">
      <alignment vertical="center" wrapText="1"/>
    </xf>
    <xf numFmtId="9" fontId="0" fillId="3" borderId="26" applyNumberFormat="1" applyFont="1" applyFill="1" applyBorder="1" applyAlignment="1" applyProtection="0">
      <alignment vertical="center" wrapText="1"/>
    </xf>
    <xf numFmtId="49" fontId="12" fillId="2" borderId="56" applyNumberFormat="1" applyFont="1" applyFill="1" applyBorder="1" applyAlignment="1" applyProtection="0">
      <alignment horizontal="center" vertical="center" wrapText="1"/>
    </xf>
    <xf numFmtId="3" fontId="0" fillId="3" borderId="30" applyNumberFormat="1" applyFont="1" applyFill="1" applyBorder="1" applyAlignment="1" applyProtection="0">
      <alignment vertical="center" wrapText="1"/>
    </xf>
    <xf numFmtId="3" fontId="0" fillId="3" borderId="31" applyNumberFormat="1" applyFont="1" applyFill="1" applyBorder="1" applyAlignment="1" applyProtection="0">
      <alignment vertical="center" wrapText="1"/>
    </xf>
    <xf numFmtId="9" fontId="0" fillId="2" borderId="36" applyNumberFormat="1" applyFont="1" applyFill="1" applyBorder="1" applyAlignment="1" applyProtection="0">
      <alignment vertical="center" wrapText="1"/>
    </xf>
    <xf numFmtId="0" fontId="0" fillId="2" borderId="57" applyNumberFormat="0" applyFont="1" applyFill="1" applyBorder="1" applyAlignment="1" applyProtection="0">
      <alignment vertical="center" wrapText="1"/>
    </xf>
    <xf numFmtId="0" fontId="0" fillId="2" borderId="58" applyNumberFormat="0" applyFont="1" applyFill="1" applyBorder="1" applyAlignment="1" applyProtection="0">
      <alignment vertical="center" wrapText="1"/>
    </xf>
    <xf numFmtId="49" fontId="6" fillId="4" borderId="25" applyNumberFormat="1" applyFont="1" applyFill="1" applyBorder="1" applyAlignment="1" applyProtection="0">
      <alignment horizontal="center" vertical="center" wrapText="1"/>
    </xf>
    <xf numFmtId="0" fontId="6" fillId="4" borderId="25" applyNumberFormat="0" applyFont="1" applyFill="1" applyBorder="1" applyAlignment="1" applyProtection="0">
      <alignment horizontal="center" vertical="center" wrapText="1"/>
    </xf>
    <xf numFmtId="49" fontId="10" fillId="2" borderId="59" applyNumberFormat="1" applyFont="1" applyFill="1" applyBorder="1" applyAlignment="1" applyProtection="0">
      <alignment horizontal="left" vertical="top" wrapText="1"/>
    </xf>
    <xf numFmtId="0" fontId="10" fillId="2" borderId="9" applyNumberFormat="0" applyFont="1" applyFill="1" applyBorder="1" applyAlignment="1" applyProtection="0">
      <alignment horizontal="left" vertical="top" wrapText="1"/>
    </xf>
    <xf numFmtId="60" fontId="0" fillId="2" borderId="25" applyNumberFormat="1" applyFont="1" applyFill="1" applyBorder="1" applyAlignment="1" applyProtection="0">
      <alignment vertical="center" wrapText="1"/>
    </xf>
    <xf numFmtId="3" fontId="0" fillId="3" borderId="25" applyNumberFormat="1" applyFont="1" applyFill="1" applyBorder="1" applyAlignment="1" applyProtection="0">
      <alignment vertical="center" wrapText="1"/>
    </xf>
    <xf numFmtId="4" fontId="0" fillId="3" borderId="43" applyNumberFormat="1" applyFont="1" applyFill="1" applyBorder="1" applyAlignment="1" applyProtection="0">
      <alignment vertical="center" wrapText="1"/>
    </xf>
    <xf numFmtId="4" fontId="0" fillId="3" borderId="29" applyNumberFormat="1" applyFont="1" applyFill="1" applyBorder="1" applyAlignment="1" applyProtection="0">
      <alignment vertical="center" wrapText="1"/>
    </xf>
    <xf numFmtId="3" fontId="0" fillId="2" borderId="25" applyNumberFormat="1" applyFont="1" applyFill="1" applyBorder="1" applyAlignment="1" applyProtection="0">
      <alignment vertical="center" wrapText="1"/>
    </xf>
    <xf numFmtId="0" fontId="10" fillId="2" borderId="59" applyNumberFormat="0" applyFont="1" applyFill="1" applyBorder="1" applyAlignment="1" applyProtection="0">
      <alignment horizontal="left" vertical="top" wrapText="1"/>
    </xf>
    <xf numFmtId="0" fontId="10" fillId="2" borderId="9" applyNumberFormat="0" applyFont="1" applyFill="1" applyBorder="1" applyAlignment="1" applyProtection="0">
      <alignment horizontal="center" vertical="top" wrapText="1"/>
    </xf>
    <xf numFmtId="0" fontId="0" fillId="2" borderId="43" applyNumberFormat="0" applyFont="1" applyFill="1" applyBorder="1" applyAlignment="1" applyProtection="0">
      <alignment vertical="center" wrapText="1"/>
    </xf>
    <xf numFmtId="60" fontId="0" fillId="2" borderId="43" applyNumberFormat="1" applyFont="1" applyFill="1" applyBorder="1" applyAlignment="1" applyProtection="0">
      <alignment vertical="center" wrapText="1"/>
    </xf>
    <xf numFmtId="60" fontId="0" fillId="2" borderId="29" applyNumberFormat="1" applyFont="1" applyFill="1" applyBorder="1" applyAlignment="1" applyProtection="0">
      <alignment vertical="center" wrapText="1"/>
    </xf>
    <xf numFmtId="49" fontId="0" fillId="3" borderId="25" applyNumberFormat="1" applyFont="1" applyFill="1" applyBorder="1" applyAlignment="1" applyProtection="0">
      <alignment vertical="center" wrapText="1"/>
    </xf>
    <xf numFmtId="0" fontId="0" fillId="2" borderId="60" applyNumberFormat="0" applyFont="1" applyFill="1" applyBorder="1" applyAlignment="1" applyProtection="0">
      <alignment vertical="center" wrapText="1"/>
    </xf>
    <xf numFmtId="0" fontId="0" fillId="2" borderId="61" applyNumberFormat="0" applyFont="1" applyFill="1" applyBorder="1" applyAlignment="1" applyProtection="0">
      <alignment vertical="center" wrapText="1"/>
    </xf>
    <xf numFmtId="0" fontId="10" fillId="2" borderId="34" applyNumberFormat="0" applyFont="1" applyFill="1" applyBorder="1" applyAlignment="1" applyProtection="0">
      <alignment horizontal="center" vertical="center" wrapText="1"/>
    </xf>
    <xf numFmtId="0" fontId="10" fillId="2" borderId="38" applyNumberFormat="0" applyFont="1" applyFill="1" applyBorder="1" applyAlignment="1" applyProtection="0">
      <alignment horizontal="center" vertical="center" wrapText="1"/>
    </xf>
    <xf numFmtId="49" fontId="0" fillId="2" borderId="41" applyNumberFormat="1" applyFont="1" applyFill="1" applyBorder="1" applyAlignment="1" applyProtection="0">
      <alignment vertical="center" wrapText="1"/>
    </xf>
    <xf numFmtId="0" fontId="0" fillId="2" borderId="62" applyNumberFormat="0" applyFont="1" applyFill="1" applyBorder="1" applyAlignment="1" applyProtection="0">
      <alignment vertical="center" wrapText="1"/>
    </xf>
    <xf numFmtId="0" fontId="5" fillId="2" borderId="18" applyNumberFormat="0" applyFont="1" applyFill="1" applyBorder="1" applyAlignment="1" applyProtection="0">
      <alignment vertical="center" wrapText="1"/>
    </xf>
    <xf numFmtId="0" fontId="5" fillId="2" borderId="9" applyNumberFormat="0" applyFont="1" applyFill="1" applyBorder="1" applyAlignment="1" applyProtection="0">
      <alignment vertical="center" wrapText="1"/>
    </xf>
    <xf numFmtId="0" fontId="0" fillId="2" borderId="63" applyNumberFormat="0" applyFont="1" applyFill="1" applyBorder="1" applyAlignment="1" applyProtection="0">
      <alignment vertical="center" wrapText="1"/>
    </xf>
    <xf numFmtId="0" fontId="0" fillId="2" borderId="64" applyNumberFormat="0" applyFont="1" applyFill="1" applyBorder="1" applyAlignment="1" applyProtection="0">
      <alignment vertical="center" wrapText="1"/>
    </xf>
    <xf numFmtId="0" fontId="0" fillId="2" borderId="65" applyNumberFormat="0" applyFont="1" applyFill="1" applyBorder="1" applyAlignment="1" applyProtection="0">
      <alignment vertical="center" wrapText="1"/>
    </xf>
    <xf numFmtId="49" fontId="13" fillId="3" borderId="66" applyNumberFormat="1" applyFont="1" applyFill="1" applyBorder="1" applyAlignment="1" applyProtection="0">
      <alignment horizontal="center" vertical="center" wrapText="1"/>
    </xf>
    <xf numFmtId="0" fontId="13" fillId="3" borderId="67" applyNumberFormat="0" applyFont="1" applyFill="1" applyBorder="1" applyAlignment="1" applyProtection="0">
      <alignment horizontal="center" vertical="center" wrapText="1"/>
    </xf>
    <xf numFmtId="49" fontId="14" fillId="4" borderId="68" applyNumberFormat="1" applyFont="1" applyFill="1" applyBorder="1" applyAlignment="1" applyProtection="0">
      <alignment horizontal="center" vertical="center" wrapText="1"/>
    </xf>
    <xf numFmtId="49" fontId="14" fillId="4" borderId="17" applyNumberFormat="1" applyFont="1" applyFill="1" applyBorder="1" applyAlignment="1" applyProtection="0">
      <alignment horizontal="center" vertical="center" wrapText="1"/>
    </xf>
    <xf numFmtId="49" fontId="14" fillId="4" borderId="15" applyNumberFormat="1" applyFont="1" applyFill="1" applyBorder="1" applyAlignment="1" applyProtection="0">
      <alignment horizontal="center" vertical="center" wrapText="1"/>
    </xf>
    <xf numFmtId="49" fontId="14" fillId="4" borderId="69" applyNumberFormat="1" applyFont="1" applyFill="1" applyBorder="1" applyAlignment="1" applyProtection="0">
      <alignment horizontal="center" vertical="center" wrapText="1"/>
    </xf>
    <xf numFmtId="0" fontId="14" fillId="4" borderId="70" applyNumberFormat="0" applyFont="1" applyFill="1" applyBorder="1" applyAlignment="1" applyProtection="0">
      <alignment horizontal="center" vertical="center" wrapText="1"/>
    </xf>
    <xf numFmtId="49" fontId="14" fillId="4" borderId="16" applyNumberFormat="1" applyFont="1" applyFill="1" applyBorder="1" applyAlignment="1" applyProtection="0">
      <alignment horizontal="center" vertical="center" wrapText="1"/>
    </xf>
    <xf numFmtId="49" fontId="14" fillId="2" borderId="59" applyNumberFormat="1" applyFont="1" applyFill="1" applyBorder="1" applyAlignment="1" applyProtection="0">
      <alignment horizontal="center" vertical="center" wrapText="1"/>
    </xf>
    <xf numFmtId="0" fontId="14" fillId="2" borderId="9" applyNumberFormat="0" applyFont="1" applyFill="1" applyBorder="1" applyAlignment="1" applyProtection="0">
      <alignment horizontal="center" vertical="center" wrapText="1"/>
    </xf>
    <xf numFmtId="49" fontId="14" fillId="2" borderId="9" applyNumberFormat="1" applyFont="1" applyFill="1" applyBorder="1" applyAlignment="1" applyProtection="0">
      <alignment horizontal="center" vertical="center" wrapText="1"/>
    </xf>
    <xf numFmtId="0" fontId="0" fillId="3" borderId="71" applyNumberFormat="0" applyFont="1" applyFill="1" applyBorder="1" applyAlignment="1" applyProtection="0">
      <alignment vertical="center" wrapText="1"/>
    </xf>
    <xf numFmtId="0" fontId="0" fillId="3" borderId="72" applyNumberFormat="0" applyFont="1" applyFill="1" applyBorder="1" applyAlignment="1" applyProtection="0">
      <alignment vertical="center" wrapText="1"/>
    </xf>
    <xf numFmtId="3" fontId="0" fillId="3" borderId="73" applyNumberFormat="1" applyFont="1" applyFill="1" applyBorder="1" applyAlignment="1" applyProtection="0">
      <alignment vertical="center" wrapText="1"/>
    </xf>
    <xf numFmtId="3" fontId="0" fillId="3" borderId="56" applyNumberFormat="1" applyFont="1" applyFill="1" applyBorder="1" applyAlignment="1" applyProtection="0">
      <alignment vertical="center" wrapText="1"/>
    </xf>
    <xf numFmtId="10" fontId="0" fillId="3" borderId="30" applyNumberFormat="1" applyFont="1" applyFill="1" applyBorder="1" applyAlignment="1" applyProtection="0">
      <alignment vertical="center" wrapText="1"/>
    </xf>
    <xf numFmtId="10" fontId="0" fillId="3" borderId="49" applyNumberFormat="1" applyFont="1" applyFill="1" applyBorder="1" applyAlignment="1" applyProtection="0">
      <alignment vertical="center" wrapText="1"/>
    </xf>
    <xf numFmtId="10" fontId="0" fillId="3" borderId="35" applyNumberFormat="1" applyFont="1" applyFill="1" applyBorder="1" applyAlignment="1" applyProtection="0">
      <alignment vertical="center" wrapText="1"/>
    </xf>
    <xf numFmtId="10" fontId="0" fillId="3" borderId="31" applyNumberFormat="1" applyFont="1" applyFill="1" applyBorder="1" applyAlignment="1" applyProtection="0">
      <alignment vertical="center" wrapText="1"/>
    </xf>
    <xf numFmtId="0" fontId="0" fillId="2" borderId="59" applyNumberFormat="0" applyFont="1" applyFill="1" applyBorder="1" applyAlignment="1" applyProtection="0">
      <alignment vertical="center" wrapText="1"/>
    </xf>
    <xf numFmtId="0" fontId="0" fillId="2" borderId="74" applyNumberFormat="0" applyFont="1" applyFill="1" applyBorder="1" applyAlignment="1" applyProtection="0">
      <alignment vertical="center" wrapText="1"/>
    </xf>
    <xf numFmtId="49" fontId="15" fillId="4" borderId="75" applyNumberFormat="1" applyFont="1" applyFill="1" applyBorder="1" applyAlignment="1" applyProtection="0">
      <alignment horizontal="center" vertical="center" wrapText="1"/>
    </xf>
    <xf numFmtId="0" fontId="15" fillId="4" borderId="76" applyNumberFormat="0" applyFont="1" applyFill="1" applyBorder="1" applyAlignment="1" applyProtection="0">
      <alignment horizontal="center" vertical="center" wrapText="1"/>
    </xf>
    <xf numFmtId="49" fontId="15" fillId="4" borderId="76" applyNumberFormat="1" applyFont="1" applyFill="1" applyBorder="1" applyAlignment="1" applyProtection="0">
      <alignment horizontal="center" vertical="center" wrapText="1"/>
    </xf>
    <xf numFmtId="49" fontId="15" fillId="4" borderId="77" applyNumberFormat="1" applyFont="1" applyFill="1" applyBorder="1" applyAlignment="1" applyProtection="0">
      <alignment horizontal="center" vertical="center" wrapText="1"/>
    </xf>
    <xf numFmtId="49" fontId="15" fillId="2" borderId="9" applyNumberFormat="1" applyFont="1" applyFill="1" applyBorder="1" applyAlignment="1" applyProtection="0">
      <alignment horizontal="center" vertical="center" wrapText="1"/>
    </xf>
    <xf numFmtId="0" fontId="0" fillId="3" borderId="78" applyNumberFormat="1" applyFont="1" applyFill="1" applyBorder="1" applyAlignment="1" applyProtection="0">
      <alignment vertical="center" wrapText="1"/>
    </xf>
    <xf numFmtId="0" fontId="0" fillId="3" borderId="79" applyNumberFormat="0" applyFont="1" applyFill="1" applyBorder="1" applyAlignment="1" applyProtection="0">
      <alignment vertical="center" wrapText="1"/>
    </xf>
    <xf numFmtId="60" fontId="0" fillId="3" borderId="79" applyNumberFormat="1" applyFont="1" applyFill="1" applyBorder="1" applyAlignment="1" applyProtection="0">
      <alignment vertical="center" wrapText="1"/>
    </xf>
    <xf numFmtId="0" fontId="13" fillId="2" borderId="79" applyNumberFormat="0" applyFont="1" applyFill="1" applyBorder="1" applyAlignment="1" applyProtection="0">
      <alignment vertical="center" wrapText="1"/>
    </xf>
    <xf numFmtId="0" fontId="0" fillId="2" borderId="79" applyNumberFormat="0" applyFont="1" applyFill="1" applyBorder="1" applyAlignment="1" applyProtection="0">
      <alignment vertical="center" wrapText="1"/>
    </xf>
    <xf numFmtId="0" fontId="0" fillId="2" borderId="80" applyNumberFormat="0" applyFont="1" applyFill="1" applyBorder="1" applyAlignment="1" applyProtection="0">
      <alignment vertical="center" wrapText="1"/>
    </xf>
    <xf numFmtId="0" fontId="0" fillId="2" borderId="81" applyNumberFormat="0" applyFont="1" applyFill="1" applyBorder="1" applyAlignment="1" applyProtection="0">
      <alignment vertical="center" wrapText="1"/>
    </xf>
    <xf numFmtId="49" fontId="0" fillId="3" borderId="82" applyNumberFormat="1" applyFont="1" applyFill="1" applyBorder="1" applyAlignment="1" applyProtection="0">
      <alignment vertical="center" wrapText="1"/>
    </xf>
    <xf numFmtId="0" fontId="0" fillId="3" borderId="83" applyNumberFormat="0" applyFont="1" applyFill="1" applyBorder="1" applyAlignment="1" applyProtection="0">
      <alignment vertical="center" wrapText="1"/>
    </xf>
    <xf numFmtId="3" fontId="0" fillId="3" borderId="83" applyNumberFormat="1" applyFont="1" applyFill="1" applyBorder="1" applyAlignment="1" applyProtection="0">
      <alignment vertical="center" wrapText="1"/>
    </xf>
    <xf numFmtId="0" fontId="13" fillId="3" borderId="83" applyNumberFormat="1" applyFont="1" applyFill="1" applyBorder="1" applyAlignment="1" applyProtection="0">
      <alignment vertical="center" wrapText="1"/>
    </xf>
    <xf numFmtId="0" fontId="0" fillId="2" borderId="84" applyNumberFormat="0" applyFont="1" applyFill="1" applyBorder="1" applyAlignment="1" applyProtection="0">
      <alignment vertical="center" wrapText="1"/>
    </xf>
    <xf numFmtId="0" fontId="0" fillId="2" borderId="85" applyNumberFormat="0" applyFont="1" applyFill="1" applyBorder="1" applyAlignment="1" applyProtection="0">
      <alignment vertical="center" wrapText="1"/>
    </xf>
    <xf numFmtId="0" fontId="0" fillId="2" borderId="85" applyNumberFormat="1" applyFont="1" applyFill="1" applyBorder="1" applyAlignment="1" applyProtection="0">
      <alignment vertical="center" wrapText="1"/>
    </xf>
    <xf numFmtId="0" fontId="0" fillId="2" borderId="86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16" fillId="2" borderId="87" applyNumberFormat="0" applyFont="1" applyFill="1" applyBorder="1" applyAlignment="1" applyProtection="0">
      <alignment vertical="bottom"/>
    </xf>
    <xf numFmtId="0" fontId="16" fillId="2" borderId="64" applyNumberFormat="0" applyFont="1" applyFill="1" applyBorder="1" applyAlignment="1" applyProtection="0">
      <alignment vertical="bottom"/>
    </xf>
    <xf numFmtId="49" fontId="3" fillId="2" borderId="64" applyNumberFormat="1" applyFont="1" applyFill="1" applyBorder="1" applyAlignment="1" applyProtection="0">
      <alignment horizontal="center" vertical="center" wrapText="1"/>
    </xf>
    <xf numFmtId="0" fontId="3" fillId="2" borderId="64" applyNumberFormat="0" applyFont="1" applyFill="1" applyBorder="1" applyAlignment="1" applyProtection="0">
      <alignment horizontal="center" vertical="center" wrapText="1"/>
    </xf>
    <xf numFmtId="0" fontId="17" fillId="2" borderId="64" applyNumberFormat="0" applyFont="1" applyFill="1" applyBorder="1" applyAlignment="1" applyProtection="0">
      <alignment vertical="center" wrapText="1"/>
    </xf>
    <xf numFmtId="49" fontId="18" fillId="2" borderId="64" applyNumberFormat="1" applyFont="1" applyFill="1" applyBorder="1" applyAlignment="1" applyProtection="0">
      <alignment horizontal="right" vertical="center"/>
    </xf>
    <xf numFmtId="0" fontId="19" fillId="2" borderId="64" applyNumberFormat="0" applyFont="1" applyFill="1" applyBorder="1" applyAlignment="1" applyProtection="0">
      <alignment horizontal="left" vertical="center"/>
    </xf>
    <xf numFmtId="49" fontId="17" fillId="2" borderId="64" applyNumberFormat="1" applyFont="1" applyFill="1" applyBorder="1" applyAlignment="1" applyProtection="0">
      <alignment horizontal="right" vertical="center"/>
    </xf>
    <xf numFmtId="0" fontId="17" fillId="2" borderId="64" applyNumberFormat="0" applyFont="1" applyFill="1" applyBorder="1" applyAlignment="1" applyProtection="0">
      <alignment horizontal="right" vertical="center"/>
    </xf>
    <xf numFmtId="0" fontId="17" fillId="2" borderId="88" applyNumberFormat="0" applyFont="1" applyFill="1" applyBorder="1" applyAlignment="1" applyProtection="0">
      <alignment horizontal="right" vertical="center"/>
    </xf>
    <xf numFmtId="49" fontId="12" fillId="3" borderId="87" applyNumberFormat="1" applyFont="1" applyFill="1" applyBorder="1" applyAlignment="1" applyProtection="0">
      <alignment horizontal="center" vertical="center" wrapText="1"/>
    </xf>
    <xf numFmtId="0" fontId="12" fillId="3" borderId="64" applyNumberFormat="0" applyFont="1" applyFill="1" applyBorder="1" applyAlignment="1" applyProtection="0">
      <alignment horizontal="center" vertical="center" wrapText="1"/>
    </xf>
    <xf numFmtId="0" fontId="12" fillId="3" borderId="88" applyNumberFormat="0" applyFont="1" applyFill="1" applyBorder="1" applyAlignment="1" applyProtection="0">
      <alignment horizontal="center" vertical="center" wrapText="1"/>
    </xf>
    <xf numFmtId="0" fontId="0" fillId="2" borderId="89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20" fillId="2" borderId="90" applyNumberFormat="1" applyFont="1" applyFill="1" applyBorder="1" applyAlignment="1" applyProtection="0">
      <alignment horizontal="center" vertical="center"/>
    </xf>
    <xf numFmtId="0" fontId="20" fillId="2" borderId="91" applyNumberFormat="0" applyFont="1" applyFill="1" applyBorder="1" applyAlignment="1" applyProtection="0">
      <alignment horizontal="center" vertical="center"/>
    </xf>
    <xf numFmtId="0" fontId="20" fillId="2" borderId="92" applyNumberFormat="0" applyFont="1" applyFill="1" applyBorder="1" applyAlignment="1" applyProtection="0">
      <alignment horizontal="center" vertical="center"/>
    </xf>
    <xf numFmtId="0" fontId="20" fillId="2" borderId="93" applyNumberFormat="0" applyFont="1" applyFill="1" applyBorder="1" applyAlignment="1" applyProtection="0">
      <alignment vertical="center"/>
    </xf>
    <xf numFmtId="0" fontId="20" fillId="2" borderId="37" applyNumberFormat="0" applyFont="1" applyFill="1" applyBorder="1" applyAlignment="1" applyProtection="0">
      <alignment vertical="center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49" fontId="21" fillId="2" borderId="15" applyNumberFormat="1" applyFont="1" applyFill="1" applyBorder="1" applyAlignment="1" applyProtection="0">
      <alignment horizontal="center" vertical="center" wrapText="1"/>
    </xf>
    <xf numFmtId="49" fontId="21" fillId="2" borderId="16" applyNumberFormat="1" applyFont="1" applyFill="1" applyBorder="1" applyAlignment="1" applyProtection="0">
      <alignment horizontal="center" vertical="center" wrapText="1"/>
    </xf>
    <xf numFmtId="49" fontId="21" fillId="2" borderId="17" applyNumberFormat="1" applyFont="1" applyFill="1" applyBorder="1" applyAlignment="1" applyProtection="0">
      <alignment horizontal="center" vertical="center" wrapText="1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49" fontId="12" fillId="2" borderId="39" applyNumberFormat="1" applyFont="1" applyFill="1" applyBorder="1" applyAlignment="1" applyProtection="0">
      <alignment horizontal="center" vertical="top"/>
    </xf>
    <xf numFmtId="0" fontId="12" fillId="2" borderId="36" applyNumberFormat="0" applyFont="1" applyFill="1" applyBorder="1" applyAlignment="1" applyProtection="0">
      <alignment horizontal="center" vertical="top"/>
    </xf>
    <xf numFmtId="0" fontId="12" fillId="2" borderId="40" applyNumberFormat="0" applyFont="1" applyFill="1" applyBorder="1" applyAlignment="1" applyProtection="0">
      <alignment horizontal="center" vertical="top"/>
    </xf>
    <xf numFmtId="0" fontId="22" fillId="2" borderId="9" applyNumberFormat="0" applyFont="1" applyFill="1" applyBorder="1" applyAlignment="1" applyProtection="0">
      <alignment vertical="top"/>
    </xf>
    <xf numFmtId="3" fontId="23" fillId="3" borderId="30" applyNumberFormat="1" applyFont="1" applyFill="1" applyBorder="1" applyAlignment="1" applyProtection="0">
      <alignment horizontal="center" vertical="center"/>
    </xf>
    <xf numFmtId="3" fontId="23" fillId="3" borderId="31" applyNumberFormat="1" applyFont="1" applyFill="1" applyBorder="1" applyAlignment="1" applyProtection="0">
      <alignment horizontal="center" vertical="center"/>
    </xf>
    <xf numFmtId="61" fontId="23" fillId="3" borderId="32" applyNumberFormat="1" applyFont="1" applyFill="1" applyBorder="1" applyAlignment="1" applyProtection="0">
      <alignment horizontal="center" vertical="center"/>
    </xf>
    <xf numFmtId="0" fontId="12" fillId="2" borderId="45" applyNumberFormat="0" applyFont="1" applyFill="1" applyBorder="1" applyAlignment="1" applyProtection="0">
      <alignment horizontal="center" vertical="top"/>
    </xf>
    <xf numFmtId="0" fontId="12" fillId="2" borderId="38" applyNumberFormat="0" applyFont="1" applyFill="1" applyBorder="1" applyAlignment="1" applyProtection="0">
      <alignment horizontal="center" vertical="top"/>
    </xf>
    <xf numFmtId="0" fontId="12" fillId="2" borderId="48" applyNumberFormat="0" applyFont="1" applyFill="1" applyBorder="1" applyAlignment="1" applyProtection="0">
      <alignment horizontal="center" vertical="top"/>
    </xf>
    <xf numFmtId="0" fontId="0" fillId="2" borderId="37" applyNumberFormat="0" applyFont="1" applyFill="1" applyBorder="1" applyAlignment="1" applyProtection="0">
      <alignment vertical="bottom"/>
    </xf>
    <xf numFmtId="0" fontId="0" fillId="2" borderId="62" applyNumberFormat="0" applyFont="1" applyFill="1" applyBorder="1" applyAlignment="1" applyProtection="0">
      <alignment vertical="bottom"/>
    </xf>
    <xf numFmtId="49" fontId="24" fillId="2" borderId="41" applyNumberFormat="1" applyFont="1" applyFill="1" applyBorder="1" applyAlignment="1" applyProtection="0">
      <alignment horizontal="center" vertical="center"/>
    </xf>
    <xf numFmtId="0" fontId="24" fillId="2" borderId="62" applyNumberFormat="0" applyFont="1" applyFill="1" applyBorder="1" applyAlignment="1" applyProtection="0">
      <alignment horizontal="center" vertical="center"/>
    </xf>
    <xf numFmtId="0" fontId="24" fillId="2" borderId="42" applyNumberFormat="0" applyFont="1" applyFill="1" applyBorder="1" applyAlignment="1" applyProtection="0">
      <alignment horizontal="center" vertical="center"/>
    </xf>
    <xf numFmtId="0" fontId="24" fillId="2" borderId="9" applyNumberFormat="0" applyFont="1" applyFill="1" applyBorder="1" applyAlignment="1" applyProtection="0">
      <alignment vertical="center"/>
    </xf>
    <xf numFmtId="0" fontId="0" fillId="2" borderId="36" applyNumberFormat="0" applyFont="1" applyFill="1" applyBorder="1" applyAlignment="1" applyProtection="0">
      <alignment vertical="bottom"/>
    </xf>
    <xf numFmtId="49" fontId="16" fillId="2" borderId="9" applyNumberFormat="1" applyFont="1" applyFill="1" applyBorder="1" applyAlignment="1" applyProtection="0">
      <alignment horizontal="left" vertical="center" wrapText="1"/>
    </xf>
    <xf numFmtId="0" fontId="16" fillId="2" borderId="9" applyNumberFormat="0" applyFont="1" applyFill="1" applyBorder="1" applyAlignment="1" applyProtection="0">
      <alignment horizontal="left" vertical="center" wrapText="1"/>
    </xf>
    <xf numFmtId="0" fontId="24" fillId="2" borderId="9" applyNumberFormat="0" applyFont="1" applyFill="1" applyBorder="1" applyAlignment="1" applyProtection="0">
      <alignment horizontal="center" vertical="center"/>
    </xf>
    <xf numFmtId="49" fontId="25" fillId="2" borderId="9" applyNumberFormat="1" applyFont="1" applyFill="1" applyBorder="1" applyAlignment="1" applyProtection="0">
      <alignment horizontal="left" vertical="center" wrapText="1"/>
    </xf>
    <xf numFmtId="0" fontId="25" fillId="2" borderId="9" applyNumberFormat="0" applyFont="1" applyFill="1" applyBorder="1" applyAlignment="1" applyProtection="0">
      <alignment horizontal="left" vertical="center" wrapText="1"/>
    </xf>
    <xf numFmtId="0" fontId="16" fillId="2" borderId="9" applyNumberFormat="0" applyFont="1" applyFill="1" applyBorder="1" applyAlignment="1" applyProtection="0">
      <alignment vertical="bottom"/>
    </xf>
    <xf numFmtId="49" fontId="16" fillId="2" borderId="9" applyNumberFormat="1" applyFont="1" applyFill="1" applyBorder="1" applyAlignment="1" applyProtection="0">
      <alignment horizontal="left" vertical="top" wrapText="1"/>
    </xf>
    <xf numFmtId="0" fontId="16" fillId="2" borderId="9" applyNumberFormat="0" applyFont="1" applyFill="1" applyBorder="1" applyAlignment="1" applyProtection="0">
      <alignment horizontal="left" vertical="top" wrapText="1"/>
    </xf>
    <xf numFmtId="0" fontId="16" fillId="2" borderId="9" applyNumberFormat="0" applyFont="1" applyFill="1" applyBorder="1" applyAlignment="1" applyProtection="0">
      <alignment vertical="top" wrapText="1"/>
    </xf>
    <xf numFmtId="0" fontId="16" fillId="2" borderId="9" applyNumberFormat="0" applyFont="1" applyFill="1" applyBorder="1" applyAlignment="1" applyProtection="0">
      <alignment vertical="bottom" wrapText="1"/>
    </xf>
    <xf numFmtId="0" fontId="0" fillId="2" borderId="38" applyNumberFormat="0" applyFont="1" applyFill="1" applyBorder="1" applyAlignment="1" applyProtection="0">
      <alignment vertical="bottom"/>
    </xf>
    <xf numFmtId="0" fontId="0" fillId="2" borderId="74" applyNumberFormat="0" applyFont="1" applyFill="1" applyBorder="1" applyAlignment="1" applyProtection="0">
      <alignment vertical="bottom"/>
    </xf>
    <xf numFmtId="0" fontId="16" fillId="2" borderId="74" applyNumberFormat="0" applyFont="1" applyFill="1" applyBorder="1" applyAlignment="1" applyProtection="0">
      <alignment vertical="top" wrapText="1"/>
    </xf>
    <xf numFmtId="0" fontId="0" fillId="2" borderId="94" applyNumberFormat="0" applyFont="1" applyFill="1" applyBorder="1" applyAlignment="1" applyProtection="0">
      <alignment vertical="bottom"/>
    </xf>
    <xf numFmtId="49" fontId="24" fillId="2" borderId="5" applyNumberFormat="1" applyFont="1" applyFill="1" applyBorder="1" applyAlignment="1" applyProtection="0">
      <alignment horizontal="center" vertical="center"/>
    </xf>
    <xf numFmtId="0" fontId="24" fillId="2" borderId="6" applyNumberFormat="0" applyFont="1" applyFill="1" applyBorder="1" applyAlignment="1" applyProtection="0">
      <alignment horizontal="center" vertical="center"/>
    </xf>
    <xf numFmtId="0" fontId="24" fillId="2" borderId="7" applyNumberFormat="0" applyFont="1" applyFill="1" applyBorder="1" applyAlignment="1" applyProtection="0">
      <alignment horizontal="center" vertical="center"/>
    </xf>
    <xf numFmtId="0" fontId="0" fillId="2" borderId="8" applyNumberFormat="0" applyFont="1" applyFill="1" applyBorder="1" applyAlignment="1" applyProtection="0">
      <alignment vertical="bottom"/>
    </xf>
    <xf numFmtId="0" fontId="16" fillId="2" borderId="9" applyNumberFormat="0" applyFont="1" applyFill="1" applyBorder="1" applyAlignment="1" applyProtection="0">
      <alignment vertical="top"/>
    </xf>
    <xf numFmtId="49" fontId="21" fillId="2" borderId="9" applyNumberFormat="1" applyFont="1" applyFill="1" applyBorder="1" applyAlignment="1" applyProtection="0">
      <alignment horizontal="center" vertical="center" wrapText="1"/>
    </xf>
    <xf numFmtId="0" fontId="21" fillId="2" borderId="9" applyNumberFormat="0" applyFont="1" applyFill="1" applyBorder="1" applyAlignment="1" applyProtection="0">
      <alignment horizontal="center" vertical="center" wrapText="1"/>
    </xf>
    <xf numFmtId="0" fontId="21" fillId="2" borderId="9" applyNumberFormat="0" applyFont="1" applyFill="1" applyBorder="1" applyAlignment="1" applyProtection="0">
      <alignment horizontal="center" vertical="center"/>
    </xf>
    <xf numFmtId="0" fontId="26" fillId="2" borderId="9" applyNumberFormat="0" applyFont="1" applyFill="1" applyBorder="1" applyAlignment="1" applyProtection="0">
      <alignment horizontal="left" vertical="center" wrapText="1"/>
    </xf>
    <xf numFmtId="0" fontId="16" fillId="2" borderId="9" applyNumberFormat="0" applyFont="1" applyFill="1" applyBorder="1" applyAlignment="1" applyProtection="0">
      <alignment horizontal="left" vertical="top"/>
    </xf>
    <xf numFmtId="0" fontId="28" fillId="2" borderId="9" applyNumberFormat="0" applyFont="1" applyFill="1" applyBorder="1" applyAlignment="1" applyProtection="0">
      <alignment horizontal="left" vertical="center" wrapText="1"/>
    </xf>
    <xf numFmtId="0" fontId="26" fillId="2" borderId="9" applyNumberFormat="0" applyFont="1" applyFill="1" applyBorder="1" applyAlignment="1" applyProtection="0">
      <alignment horizontal="center" vertical="center" wrapText="1"/>
    </xf>
    <xf numFmtId="0" fontId="0" fillId="2" borderId="61" applyNumberFormat="0" applyFont="1" applyFill="1" applyBorder="1" applyAlignment="1" applyProtection="0">
      <alignment vertical="bottom"/>
    </xf>
    <xf numFmtId="49" fontId="24" fillId="2" borderId="95" applyNumberFormat="1" applyFont="1" applyFill="1" applyBorder="1" applyAlignment="1" applyProtection="0">
      <alignment horizontal="center" vertical="center"/>
    </xf>
    <xf numFmtId="0" fontId="24" fillId="2" borderId="96" applyNumberFormat="0" applyFont="1" applyFill="1" applyBorder="1" applyAlignment="1" applyProtection="0">
      <alignment horizontal="center" vertical="center"/>
    </xf>
    <xf numFmtId="0" fontId="24" fillId="2" borderId="97" applyNumberFormat="0" applyFont="1" applyFill="1" applyBorder="1" applyAlignment="1" applyProtection="0">
      <alignment horizontal="center" vertical="center"/>
    </xf>
    <xf numFmtId="0" fontId="24" fillId="2" borderId="98" applyNumberFormat="0" applyFont="1" applyFill="1" applyBorder="1" applyAlignment="1" applyProtection="0">
      <alignment vertical="center"/>
    </xf>
    <xf numFmtId="0" fontId="24" fillId="2" borderId="37" applyNumberFormat="0" applyFont="1" applyFill="1" applyBorder="1" applyAlignment="1" applyProtection="0">
      <alignment vertical="center"/>
    </xf>
    <xf numFmtId="49" fontId="5" fillId="3" borderId="39" applyNumberFormat="1" applyFont="1" applyFill="1" applyBorder="1" applyAlignment="1" applyProtection="0">
      <alignment horizontal="left" vertical="center" wrapText="1"/>
    </xf>
    <xf numFmtId="0" fontId="5" fillId="3" borderId="40" applyNumberFormat="0" applyFont="1" applyFill="1" applyBorder="1" applyAlignment="1" applyProtection="0">
      <alignment horizontal="left" vertical="center" wrapText="1"/>
    </xf>
    <xf numFmtId="0" fontId="5" fillId="2" borderId="39" applyNumberFormat="0" applyFont="1" applyFill="1" applyBorder="1" applyAlignment="1" applyProtection="0">
      <alignment horizontal="center" vertical="center"/>
    </xf>
    <xf numFmtId="0" fontId="5" fillId="2" borderId="36" applyNumberFormat="0" applyFont="1" applyFill="1" applyBorder="1" applyAlignment="1" applyProtection="0">
      <alignment horizontal="center" vertical="center"/>
    </xf>
    <xf numFmtId="0" fontId="5" fillId="2" borderId="9" applyNumberFormat="0" applyFont="1" applyFill="1" applyBorder="1" applyAlignment="1" applyProtection="0">
      <alignment horizontal="left" vertical="center"/>
    </xf>
    <xf numFmtId="49" fontId="5" fillId="3" borderId="18" applyNumberFormat="1" applyFont="1" applyFill="1" applyBorder="1" applyAlignment="1" applyProtection="0">
      <alignment horizontal="left" vertical="center" wrapText="1"/>
    </xf>
    <xf numFmtId="0" fontId="5" fillId="3" borderId="19" applyNumberFormat="0" applyFont="1" applyFill="1" applyBorder="1" applyAlignment="1" applyProtection="0">
      <alignment horizontal="left" vertical="center" wrapText="1"/>
    </xf>
    <xf numFmtId="0" fontId="5" fillId="2" borderId="18" applyNumberFormat="0" applyFont="1" applyFill="1" applyBorder="1" applyAlignment="1" applyProtection="0">
      <alignment horizontal="center" vertical="center"/>
    </xf>
    <xf numFmtId="0" fontId="5" fillId="2" borderId="9" applyNumberFormat="0" applyFont="1" applyFill="1" applyBorder="1" applyAlignment="1" applyProtection="0">
      <alignment horizontal="center" vertical="center"/>
    </xf>
    <xf numFmtId="49" fontId="5" fillId="3" borderId="45" applyNumberFormat="1" applyFont="1" applyFill="1" applyBorder="1" applyAlignment="1" applyProtection="0">
      <alignment horizontal="left" vertical="center" wrapText="1"/>
    </xf>
    <xf numFmtId="0" fontId="5" fillId="3" borderId="48" applyNumberFormat="0" applyFont="1" applyFill="1" applyBorder="1" applyAlignment="1" applyProtection="0">
      <alignment horizontal="left" vertical="center" wrapText="1"/>
    </xf>
    <xf numFmtId="0" fontId="5" fillId="2" borderId="45" applyNumberFormat="0" applyFont="1" applyFill="1" applyBorder="1" applyAlignment="1" applyProtection="0">
      <alignment horizontal="center" vertical="center"/>
    </xf>
    <xf numFmtId="0" fontId="5" fillId="2" borderId="38" applyNumberFormat="0" applyFont="1" applyFill="1" applyBorder="1" applyAlignment="1" applyProtection="0">
      <alignment horizontal="center" vertical="center"/>
    </xf>
    <xf numFmtId="0" fontId="23" fillId="2" borderId="99" applyNumberFormat="0" applyFont="1" applyFill="1" applyBorder="1" applyAlignment="1" applyProtection="0">
      <alignment horizontal="center" vertical="top"/>
    </xf>
    <xf numFmtId="0" fontId="23" fillId="2" borderId="36" applyNumberFormat="0" applyFont="1" applyFill="1" applyBorder="1" applyAlignment="1" applyProtection="0">
      <alignment horizontal="center" vertical="top"/>
    </xf>
    <xf numFmtId="0" fontId="23" fillId="2" borderId="100" applyNumberFormat="0" applyFont="1" applyFill="1" applyBorder="1" applyAlignment="1" applyProtection="0">
      <alignment horizontal="center" vertical="top"/>
    </xf>
    <xf numFmtId="0" fontId="23" fillId="2" borderId="8" applyNumberFormat="0" applyFont="1" applyFill="1" applyBorder="1" applyAlignment="1" applyProtection="0">
      <alignment vertical="top"/>
    </xf>
    <xf numFmtId="0" fontId="23" fillId="2" borderId="9" applyNumberFormat="0" applyFont="1" applyFill="1" applyBorder="1" applyAlignment="1" applyProtection="0">
      <alignment vertical="top"/>
    </xf>
    <xf numFmtId="0" fontId="23" fillId="2" borderId="71" applyNumberFormat="0" applyFont="1" applyFill="1" applyBorder="1" applyAlignment="1" applyProtection="0">
      <alignment horizontal="center" vertical="top"/>
    </xf>
    <xf numFmtId="0" fontId="23" fillId="2" borderId="74" applyNumberFormat="0" applyFont="1" applyFill="1" applyBorder="1" applyAlignment="1" applyProtection="0">
      <alignment horizontal="center" vertical="top"/>
    </xf>
    <xf numFmtId="0" fontId="23" fillId="2" borderId="72" applyNumberFormat="0" applyFont="1" applyFill="1" applyBorder="1" applyAlignment="1" applyProtection="0">
      <alignment horizontal="center" vertical="top"/>
    </xf>
    <xf numFmtId="0" fontId="0" fillId="2" borderId="101" applyNumberFormat="0" applyFont="1" applyFill="1" applyBorder="1" applyAlignment="1" applyProtection="0">
      <alignment vertical="bottom"/>
    </xf>
    <xf numFmtId="0" fontId="0" fillId="2" borderId="85" applyNumberFormat="0" applyFont="1" applyFill="1" applyBorder="1" applyAlignment="1" applyProtection="0">
      <alignment vertical="bottom"/>
    </xf>
    <xf numFmtId="0" fontId="0" fillId="2" borderId="8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25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23" fillId="2" borderId="102" applyNumberFormat="0" applyFont="1" applyFill="1" applyBorder="1" applyAlignment="1" applyProtection="0">
      <alignment vertical="top"/>
    </xf>
    <xf numFmtId="0" fontId="23" fillId="2" borderId="85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0" fillId="2" borderId="95" applyNumberFormat="1" applyFont="1" applyFill="1" applyBorder="1" applyAlignment="1" applyProtection="0">
      <alignment horizontal="center" vertical="center"/>
    </xf>
    <xf numFmtId="0" fontId="20" fillId="2" borderId="96" applyNumberFormat="0" applyFont="1" applyFill="1" applyBorder="1" applyAlignment="1" applyProtection="0">
      <alignment horizontal="center" vertical="center"/>
    </xf>
    <xf numFmtId="0" fontId="20" fillId="2" borderId="97" applyNumberFormat="0" applyFont="1" applyFill="1" applyBorder="1" applyAlignment="1" applyProtection="0">
      <alignment horizontal="center" vertical="center"/>
    </xf>
    <xf numFmtId="0" fontId="0" fillId="2" borderId="63" applyNumberFormat="0" applyFont="1" applyFill="1" applyBorder="1" applyAlignment="1" applyProtection="0">
      <alignment vertical="bottom"/>
    </xf>
    <xf numFmtId="0" fontId="0" fillId="2" borderId="103" applyNumberFormat="0" applyFont="1" applyFill="1" applyBorder="1" applyAlignment="1" applyProtection="0">
      <alignment vertical="bottom"/>
    </xf>
    <xf numFmtId="49" fontId="29" fillId="4" borderId="15" applyNumberFormat="1" applyFont="1" applyFill="1" applyBorder="1" applyAlignment="1" applyProtection="0">
      <alignment horizontal="center" vertical="center"/>
    </xf>
    <xf numFmtId="0" fontId="29" fillId="4" borderId="17" applyNumberFormat="0" applyFont="1" applyFill="1" applyBorder="1" applyAlignment="1" applyProtection="0">
      <alignment horizontal="center" vertical="center"/>
    </xf>
    <xf numFmtId="0" fontId="0" fillId="2" borderId="23" applyNumberFormat="0" applyFont="1" applyFill="1" applyBorder="1" applyAlignment="1" applyProtection="0">
      <alignment vertical="bottom"/>
    </xf>
    <xf numFmtId="49" fontId="29" fillId="4" borderId="41" applyNumberFormat="1" applyFont="1" applyFill="1" applyBorder="1" applyAlignment="1" applyProtection="0">
      <alignment horizontal="center" vertical="center" wrapText="1"/>
    </xf>
    <xf numFmtId="0" fontId="29" fillId="4" borderId="22" applyNumberFormat="0" applyFont="1" applyFill="1" applyBorder="1" applyAlignment="1" applyProtection="0">
      <alignment horizontal="center" vertical="center" wrapText="1"/>
    </xf>
    <xf numFmtId="49" fontId="29" fillId="4" borderId="15" applyNumberFormat="1" applyFont="1" applyFill="1" applyBorder="1" applyAlignment="1" applyProtection="0">
      <alignment horizontal="center" vertical="center" wrapText="1"/>
    </xf>
    <xf numFmtId="0" fontId="29" fillId="4" borderId="16" applyNumberFormat="0" applyFont="1" applyFill="1" applyBorder="1" applyAlignment="1" applyProtection="0">
      <alignment horizontal="center" vertical="center" wrapText="1"/>
    </xf>
    <xf numFmtId="49" fontId="11" fillId="4" borderId="17" applyNumberFormat="1" applyFont="1" applyFill="1" applyBorder="1" applyAlignment="1" applyProtection="0">
      <alignment horizontal="center" vertical="center"/>
    </xf>
    <xf numFmtId="49" fontId="11" fillId="4" borderId="41" applyNumberFormat="1" applyFont="1" applyFill="1" applyBorder="1" applyAlignment="1" applyProtection="0">
      <alignment horizontal="center" vertical="center"/>
    </xf>
    <xf numFmtId="0" fontId="11" fillId="4" borderId="42" applyNumberFormat="0" applyFont="1" applyFill="1" applyBorder="1" applyAlignment="1" applyProtection="0">
      <alignment horizontal="center" vertical="center"/>
    </xf>
    <xf numFmtId="49" fontId="30" fillId="2" borderId="24" applyNumberFormat="1" applyFont="1" applyFill="1" applyBorder="1" applyAlignment="1" applyProtection="0">
      <alignment horizontal="center" vertical="center" wrapText="1"/>
    </xf>
    <xf numFmtId="1" fontId="31" fillId="2" borderId="26" applyNumberFormat="1" applyFont="1" applyFill="1" applyBorder="1" applyAlignment="1" applyProtection="0">
      <alignment horizontal="center" vertical="center"/>
    </xf>
    <xf numFmtId="49" fontId="30" fillId="2" borderId="15" applyNumberFormat="1" applyFont="1" applyFill="1" applyBorder="1" applyAlignment="1" applyProtection="0">
      <alignment horizontal="center" vertical="center"/>
    </xf>
    <xf numFmtId="49" fontId="30" fillId="2" borderId="24" applyNumberFormat="1" applyFont="1" applyFill="1" applyBorder="1" applyAlignment="1" applyProtection="0">
      <alignment horizontal="center" vertical="center"/>
    </xf>
    <xf numFmtId="9" fontId="31" fillId="3" borderId="25" applyNumberFormat="1" applyFont="1" applyFill="1" applyBorder="1" applyAlignment="1" applyProtection="0">
      <alignment horizontal="center" vertical="center"/>
    </xf>
    <xf numFmtId="3" fontId="31" fillId="3" borderId="26" applyNumberFormat="1" applyFont="1" applyFill="1" applyBorder="1" applyAlignment="1" applyProtection="0">
      <alignment horizontal="center" vertical="center"/>
    </xf>
    <xf numFmtId="49" fontId="30" fillId="2" borderId="51" applyNumberFormat="1" applyFont="1" applyFill="1" applyBorder="1" applyAlignment="1" applyProtection="0">
      <alignment horizontal="center" vertical="center"/>
    </xf>
    <xf numFmtId="3" fontId="31" fillId="2" borderId="53" applyNumberFormat="1" applyFont="1" applyFill="1" applyBorder="1" applyAlignment="1" applyProtection="0">
      <alignment horizontal="center" vertical="center"/>
    </xf>
    <xf numFmtId="59" fontId="13" fillId="3" borderId="26" applyNumberFormat="1" applyFont="1" applyFill="1" applyBorder="1" applyAlignment="1" applyProtection="0">
      <alignment horizontal="center" vertical="center" wrapText="1"/>
    </xf>
    <xf numFmtId="49" fontId="32" fillId="2" borderId="24" applyNumberFormat="1" applyFont="1" applyFill="1" applyBorder="1" applyAlignment="1" applyProtection="0">
      <alignment horizontal="center" vertical="center" wrapText="1"/>
    </xf>
    <xf numFmtId="9" fontId="13" fillId="2" borderId="26" applyNumberFormat="1" applyFont="1" applyFill="1" applyBorder="1" applyAlignment="1" applyProtection="0">
      <alignment horizontal="center" vertical="center" wrapText="1"/>
    </xf>
    <xf numFmtId="49" fontId="32" fillId="2" borderId="24" applyNumberFormat="1" applyFont="1" applyFill="1" applyBorder="1" applyAlignment="1" applyProtection="0">
      <alignment horizontal="center" vertical="center"/>
    </xf>
    <xf numFmtId="1" fontId="31" fillId="3" borderId="26" applyNumberFormat="1" applyFont="1" applyFill="1" applyBorder="1" applyAlignment="1" applyProtection="0">
      <alignment horizontal="center" vertical="center"/>
    </xf>
    <xf numFmtId="49" fontId="32" fillId="2" borderId="30" applyNumberFormat="1" applyFont="1" applyFill="1" applyBorder="1" applyAlignment="1" applyProtection="0">
      <alignment horizontal="center" vertical="center"/>
    </xf>
    <xf numFmtId="9" fontId="31" fillId="3" borderId="31" applyNumberFormat="1" applyFont="1" applyFill="1" applyBorder="1" applyAlignment="1" applyProtection="0">
      <alignment horizontal="center" vertical="center"/>
    </xf>
    <xf numFmtId="3" fontId="31" fillId="3" borderId="32" applyNumberFormat="1" applyFont="1" applyFill="1" applyBorder="1" applyAlignment="1" applyProtection="0">
      <alignment horizontal="center" vertical="center"/>
    </xf>
    <xf numFmtId="49" fontId="9" fillId="2" borderId="104" applyNumberFormat="1" applyFont="1" applyFill="1" applyBorder="1" applyAlignment="1" applyProtection="0">
      <alignment horizontal="center" vertical="center" wrapText="1"/>
    </xf>
    <xf numFmtId="0" fontId="9" fillId="2" borderId="61" applyNumberFormat="0" applyFont="1" applyFill="1" applyBorder="1" applyAlignment="1" applyProtection="0">
      <alignment horizontal="center" vertical="center" wrapText="1"/>
    </xf>
    <xf numFmtId="49" fontId="32" fillId="2" borderId="30" applyNumberFormat="1" applyFont="1" applyFill="1" applyBorder="1" applyAlignment="1" applyProtection="0">
      <alignment horizontal="center" vertical="center" wrapText="1"/>
    </xf>
    <xf numFmtId="3" fontId="13" fillId="3" borderId="32" applyNumberFormat="1" applyFont="1" applyFill="1" applyBorder="1" applyAlignment="1" applyProtection="0">
      <alignment horizontal="center" vertical="center" wrapText="1"/>
    </xf>
    <xf numFmtId="0" fontId="13" fillId="2" borderId="41" applyNumberFormat="0" applyFont="1" applyFill="1" applyBorder="1" applyAlignment="1" applyProtection="0">
      <alignment horizontal="center" vertical="center" wrapText="1"/>
    </xf>
    <xf numFmtId="0" fontId="13" fillId="2" borderId="42" applyNumberFormat="0" applyFont="1" applyFill="1" applyBorder="1" applyAlignment="1" applyProtection="0">
      <alignment horizontal="center" vertical="center" wrapText="1"/>
    </xf>
    <xf numFmtId="0" fontId="14" fillId="4" borderId="16" applyNumberFormat="0" applyFont="1" applyFill="1" applyBorder="1" applyAlignment="1" applyProtection="0">
      <alignment horizontal="center" vertical="center" wrapText="1"/>
    </xf>
    <xf numFmtId="0" fontId="0" fillId="2" borderId="58" applyNumberFormat="0" applyFont="1" applyFill="1" applyBorder="1" applyAlignment="1" applyProtection="0">
      <alignment vertical="bottom"/>
    </xf>
    <xf numFmtId="0" fontId="13" fillId="3" borderId="25" applyNumberFormat="1" applyFont="1" applyFill="1" applyBorder="1" applyAlignment="1" applyProtection="0">
      <alignment horizontal="center" vertical="center" wrapText="1"/>
    </xf>
    <xf numFmtId="0" fontId="13" fillId="3" borderId="25" applyNumberFormat="0" applyFont="1" applyFill="1" applyBorder="1" applyAlignment="1" applyProtection="0">
      <alignment horizontal="center" vertical="center" wrapText="1"/>
    </xf>
    <xf numFmtId="4" fontId="31" fillId="3" borderId="25" applyNumberFormat="1" applyFont="1" applyFill="1" applyBorder="1" applyAlignment="1" applyProtection="0">
      <alignment horizontal="center" vertical="center"/>
    </xf>
    <xf numFmtId="3" fontId="13" fillId="3" borderId="25" applyNumberFormat="1" applyFont="1" applyFill="1" applyBorder="1" applyAlignment="1" applyProtection="0">
      <alignment horizontal="center" vertical="center" wrapText="1"/>
    </xf>
    <xf numFmtId="4" fontId="31" fillId="3" borderId="25" applyNumberFormat="1" applyFont="1" applyFill="1" applyBorder="1" applyAlignment="1" applyProtection="0">
      <alignment horizontal="center" vertical="center" wrapText="1"/>
    </xf>
    <xf numFmtId="0" fontId="0" fillId="2" borderId="59" applyNumberFormat="0" applyFont="1" applyFill="1" applyBorder="1" applyAlignment="1" applyProtection="0">
      <alignment vertical="bottom"/>
    </xf>
    <xf numFmtId="59" fontId="33" fillId="2" borderId="103" applyNumberFormat="1" applyFont="1" applyFill="1" applyBorder="1" applyAlignment="1" applyProtection="0">
      <alignment horizontal="center" vertical="center"/>
    </xf>
    <xf numFmtId="59" fontId="33" fillId="2" borderId="63" applyNumberFormat="1" applyFont="1" applyFill="1" applyBorder="1" applyAlignment="1" applyProtection="0">
      <alignment horizontal="center" vertical="center"/>
    </xf>
    <xf numFmtId="49" fontId="31" fillId="3" borderId="30" applyNumberFormat="1" applyFont="1" applyFill="1" applyBorder="1" applyAlignment="1" applyProtection="0">
      <alignment horizontal="center" vertical="center"/>
    </xf>
    <xf numFmtId="0" fontId="0" fillId="2" borderId="31" applyNumberFormat="0" applyFont="1" applyFill="1" applyBorder="1" applyAlignment="1" applyProtection="0">
      <alignment vertical="bottom"/>
    </xf>
    <xf numFmtId="4" fontId="31" fillId="3" borderId="31" applyNumberFormat="1" applyFont="1" applyFill="1" applyBorder="1" applyAlignment="1" applyProtection="0">
      <alignment horizontal="center" vertical="center"/>
    </xf>
    <xf numFmtId="3" fontId="31" fillId="3" borderId="31" applyNumberFormat="1" applyFont="1" applyFill="1" applyBorder="1" applyAlignment="1" applyProtection="0">
      <alignment horizontal="center" vertical="center"/>
    </xf>
    <xf numFmtId="49" fontId="13" fillId="3" borderId="15" applyNumberFormat="1" applyFont="1" applyFill="1" applyBorder="1" applyAlignment="1" applyProtection="0">
      <alignment horizontal="center" vertical="center" wrapText="1"/>
    </xf>
    <xf numFmtId="0" fontId="13" fillId="3" borderId="16" applyNumberFormat="0" applyFont="1" applyFill="1" applyBorder="1" applyAlignment="1" applyProtection="0">
      <alignment horizontal="center" vertical="center" wrapText="1"/>
    </xf>
    <xf numFmtId="49" fontId="14" fillId="2" borderId="18" applyNumberFormat="1" applyFont="1" applyFill="1" applyBorder="1" applyAlignment="1" applyProtection="0">
      <alignment horizontal="center" vertical="center" wrapText="1"/>
    </xf>
    <xf numFmtId="49" fontId="34" fillId="2" borderId="9" applyNumberFormat="1" applyFont="1" applyFill="1" applyBorder="1" applyAlignment="1" applyProtection="0">
      <alignment horizontal="center" vertical="center" wrapText="1"/>
    </xf>
    <xf numFmtId="0" fontId="13" fillId="3" borderId="30" applyNumberFormat="0" applyFont="1" applyFill="1" applyBorder="1" applyAlignment="1" applyProtection="0">
      <alignment horizontal="center" vertical="center" wrapText="1"/>
    </xf>
    <xf numFmtId="0" fontId="13" fillId="3" borderId="31" applyNumberFormat="0" applyFont="1" applyFill="1" applyBorder="1" applyAlignment="1" applyProtection="0">
      <alignment horizontal="center" vertical="center" wrapText="1"/>
    </xf>
    <xf numFmtId="3" fontId="13" fillId="3" borderId="31" applyNumberFormat="1" applyFont="1" applyFill="1" applyBorder="1" applyAlignment="1" applyProtection="0">
      <alignment horizontal="center" vertical="center" wrapText="1"/>
    </xf>
    <xf numFmtId="10" fontId="13" fillId="3" borderId="31" applyNumberFormat="1" applyFont="1" applyFill="1" applyBorder="1" applyAlignment="1" applyProtection="0">
      <alignment horizontal="center" vertical="center" wrapText="1"/>
    </xf>
    <xf numFmtId="10" fontId="13" fillId="3" borderId="32" applyNumberFormat="1" applyFont="1" applyFill="1" applyBorder="1" applyAlignment="1" applyProtection="0">
      <alignment horizontal="center" vertical="center" wrapText="1"/>
    </xf>
    <xf numFmtId="0" fontId="13" fillId="2" borderId="18" applyNumberFormat="0" applyFont="1" applyFill="1" applyBorder="1" applyAlignment="1" applyProtection="0">
      <alignment horizontal="center" vertical="center" wrapText="1"/>
    </xf>
    <xf numFmtId="0" fontId="16" fillId="2" borderId="9" applyNumberFormat="0" applyFont="1" applyFill="1" applyBorder="1" applyAlignment="1" applyProtection="0">
      <alignment vertical="center"/>
    </xf>
    <xf numFmtId="0" fontId="13" fillId="2" borderId="63" applyNumberFormat="0" applyFont="1" applyFill="1" applyBorder="1" applyAlignment="1" applyProtection="0">
      <alignment horizontal="center" vertical="center" wrapText="1"/>
    </xf>
    <xf numFmtId="0" fontId="13" fillId="2" borderId="36" applyNumberFormat="0" applyFont="1" applyFill="1" applyBorder="1" applyAlignment="1" applyProtection="0">
      <alignment horizontal="center" vertical="center" wrapText="1"/>
    </xf>
    <xf numFmtId="0" fontId="13" fillId="2" borderId="9" applyNumberFormat="0" applyFont="1" applyFill="1" applyBorder="1" applyAlignment="1" applyProtection="0">
      <alignment horizontal="center" vertical="center" wrapText="1"/>
    </xf>
    <xf numFmtId="0" fontId="13" fillId="2" borderId="61" applyNumberFormat="0" applyFont="1" applyFill="1" applyBorder="1" applyAlignment="1" applyProtection="0">
      <alignment horizontal="center" vertical="center" wrapText="1"/>
    </xf>
    <xf numFmtId="0" fontId="13" fillId="2" borderId="38" applyNumberFormat="0" applyFont="1" applyFill="1" applyBorder="1" applyAlignment="1" applyProtection="0">
      <alignment horizontal="center" vertical="center" wrapText="1"/>
    </xf>
    <xf numFmtId="49" fontId="15" fillId="4" borderId="15" applyNumberFormat="1" applyFont="1" applyFill="1" applyBorder="1" applyAlignment="1" applyProtection="0">
      <alignment horizontal="center" vertical="center" wrapText="1"/>
    </xf>
    <xf numFmtId="0" fontId="15" fillId="4" borderId="16" applyNumberFormat="0" applyFont="1" applyFill="1" applyBorder="1" applyAlignment="1" applyProtection="0">
      <alignment horizontal="center" vertical="center" wrapText="1"/>
    </xf>
    <xf numFmtId="49" fontId="15" fillId="4" borderId="16" applyNumberFormat="1" applyFont="1" applyFill="1" applyBorder="1" applyAlignment="1" applyProtection="0">
      <alignment horizontal="center" vertical="center" wrapText="1"/>
    </xf>
    <xf numFmtId="49" fontId="15" fillId="4" borderId="17" applyNumberFormat="1" applyFont="1" applyFill="1" applyBorder="1" applyAlignment="1" applyProtection="0">
      <alignment horizontal="center" vertical="center" wrapText="1"/>
    </xf>
    <xf numFmtId="0" fontId="13" fillId="3" borderId="24" applyNumberFormat="1" applyFont="1" applyFill="1" applyBorder="1" applyAlignment="1" applyProtection="0">
      <alignment horizontal="center" vertical="center" wrapText="1"/>
    </xf>
    <xf numFmtId="60" fontId="13" fillId="3" borderId="25" applyNumberFormat="1" applyFont="1" applyFill="1" applyBorder="1" applyAlignment="1" applyProtection="0">
      <alignment horizontal="center" vertical="center" wrapText="1"/>
    </xf>
    <xf numFmtId="3" fontId="13" fillId="3" borderId="26" applyNumberFormat="1" applyFont="1" applyFill="1" applyBorder="1" applyAlignment="1" applyProtection="0">
      <alignment horizontal="center" vertical="center" wrapText="1"/>
    </xf>
    <xf numFmtId="49" fontId="13" fillId="3" borderId="30" applyNumberFormat="1" applyFont="1" applyFill="1" applyBorder="1" applyAlignment="1" applyProtection="0">
      <alignment horizontal="center" vertical="center" wrapText="1"/>
    </xf>
    <xf numFmtId="0" fontId="13" fillId="3" borderId="31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05050"/>
      <rgbColor rgb="ffd0e1d3"/>
      <rgbColor rgb="ffc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Relationship Id="rId9" Type="http://schemas.openxmlformats.org/officeDocument/2006/relationships/image" Target="../media/image13.pn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Relationship Id="rId9" Type="http://schemas.openxmlformats.org/officeDocument/2006/relationships/image" Target="../media/image13.png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Relationship Id="rId9" Type="http://schemas.openxmlformats.org/officeDocument/2006/relationships/image" Target="../media/image13.png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Relationship Id="rId9" Type="http://schemas.openxmlformats.org/officeDocument/2006/relationships/image" Target="../media/image13.png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Relationship Id="rId9" Type="http://schemas.openxmlformats.org/officeDocument/2006/relationships/image" Target="../media/image13.png"/></Relationships>
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Relationship Id="rId9" Type="http://schemas.openxmlformats.org/officeDocument/2006/relationships/image" Target="../media/image13.png"/></Relationships>
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10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Relationship Id="rId9" Type="http://schemas.openxmlformats.org/officeDocument/2006/relationships/image" Target="../media/image13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252158</xdr:colOff>
      <xdr:row>0</xdr:row>
      <xdr:rowOff>455813</xdr:rowOff>
    </xdr:from>
    <xdr:to>
      <xdr:col>1</xdr:col>
      <xdr:colOff>798689</xdr:colOff>
      <xdr:row>0</xdr:row>
      <xdr:rowOff>804322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2158" y="455813"/>
          <a:ext cx="1638731" cy="3485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315126</xdr:colOff>
      <xdr:row>0</xdr:row>
      <xdr:rowOff>20760</xdr:rowOff>
    </xdr:from>
    <xdr:to>
      <xdr:col>6</xdr:col>
      <xdr:colOff>783088</xdr:colOff>
      <xdr:row>0</xdr:row>
      <xdr:rowOff>1234721</xdr:rowOff>
    </xdr:to>
    <xdr:pic>
      <xdr:nvPicPr>
        <xdr:cNvPr id="3" name="Imagen 8" descr="Imagen 8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941226" y="20760"/>
          <a:ext cx="1560163" cy="12139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1016196</xdr:colOff>
      <xdr:row>2</xdr:row>
      <xdr:rowOff>121740</xdr:rowOff>
    </xdr:from>
    <xdr:to>
      <xdr:col>4</xdr:col>
      <xdr:colOff>589224</xdr:colOff>
      <xdr:row>8</xdr:row>
      <xdr:rowOff>235755</xdr:rowOff>
    </xdr:to>
    <xdr:pic>
      <xdr:nvPicPr>
        <xdr:cNvPr id="4" name="Imagen 9" descr="Imagen 9"/>
        <xdr:cNvPicPr>
          <a:picLocks noChangeAspect="1"/>
        </xdr:cNvPicPr>
      </xdr:nvPicPr>
      <xdr:blipFill>
        <a:blip r:embed="rId3">
          <a:extLst/>
        </a:blip>
        <a:srcRect l="0" t="13305" r="0" b="14345"/>
        <a:stretch>
          <a:fillRect/>
        </a:stretch>
      </xdr:blipFill>
      <xdr:spPr>
        <a:xfrm flipH="1" rot="16200000">
          <a:off x="2992015" y="3327521"/>
          <a:ext cx="3317591" cy="71602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46321</xdr:colOff>
      <xdr:row>14</xdr:row>
      <xdr:rowOff>406400</xdr:rowOff>
    </xdr:from>
    <xdr:to>
      <xdr:col>1</xdr:col>
      <xdr:colOff>931335</xdr:colOff>
      <xdr:row>16</xdr:row>
      <xdr:rowOff>23119</xdr:rowOff>
    </xdr:to>
    <xdr:pic>
      <xdr:nvPicPr>
        <xdr:cNvPr id="5" name="Imagen 10" descr="Imagen 10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138521" y="9016365"/>
          <a:ext cx="885015" cy="9051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91016</xdr:colOff>
      <xdr:row>19</xdr:row>
      <xdr:rowOff>232836</xdr:rowOff>
    </xdr:from>
    <xdr:to>
      <xdr:col>11</xdr:col>
      <xdr:colOff>1090089</xdr:colOff>
      <xdr:row>21</xdr:row>
      <xdr:rowOff>80005</xdr:rowOff>
    </xdr:to>
    <xdr:pic>
      <xdr:nvPicPr>
        <xdr:cNvPr id="6" name="Imagen 11" descr="Imagen 11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2295716" y="11881911"/>
          <a:ext cx="999074" cy="8784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82825</xdr:colOff>
      <xdr:row>0</xdr:row>
      <xdr:rowOff>348043</xdr:rowOff>
    </xdr:from>
    <xdr:to>
      <xdr:col>1</xdr:col>
      <xdr:colOff>21078</xdr:colOff>
      <xdr:row>0</xdr:row>
      <xdr:rowOff>596900</xdr:rowOff>
    </xdr:to>
    <xdr:pic>
      <xdr:nvPicPr>
        <xdr:cNvPr id="8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120924</xdr:colOff>
      <xdr:row>0</xdr:row>
      <xdr:rowOff>348043</xdr:rowOff>
    </xdr:from>
    <xdr:to>
      <xdr:col>1</xdr:col>
      <xdr:colOff>59178</xdr:colOff>
      <xdr:row>0</xdr:row>
      <xdr:rowOff>596900</xdr:rowOff>
    </xdr:to>
    <xdr:pic>
      <xdr:nvPicPr>
        <xdr:cNvPr id="9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20924" y="348043"/>
          <a:ext cx="1170155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803678</xdr:colOff>
      <xdr:row>0</xdr:row>
      <xdr:rowOff>187574</xdr:rowOff>
    </xdr:from>
    <xdr:to>
      <xdr:col>7</xdr:col>
      <xdr:colOff>222987</xdr:colOff>
      <xdr:row>0</xdr:row>
      <xdr:rowOff>848308</xdr:rowOff>
    </xdr:to>
    <xdr:pic>
      <xdr:nvPicPr>
        <xdr:cNvPr id="10" name="Picture 104" descr="Picture 104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8195078" y="187574"/>
          <a:ext cx="651210" cy="6607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459924</xdr:colOff>
      <xdr:row>7</xdr:row>
      <xdr:rowOff>674413</xdr:rowOff>
    </xdr:from>
    <xdr:to>
      <xdr:col>0</xdr:col>
      <xdr:colOff>1108751</xdr:colOff>
      <xdr:row>8</xdr:row>
      <xdr:rowOff>628674</xdr:rowOff>
    </xdr:to>
    <xdr:pic>
      <xdr:nvPicPr>
        <xdr:cNvPr id="11" name="Imagen 4" descr="Imagen 4"/>
        <xdr:cNvPicPr>
          <a:picLocks noChangeAspect="1"/>
        </xdr:cNvPicPr>
      </xdr:nvPicPr>
      <xdr:blipFill>
        <a:blip r:embed="rId3">
          <a:extLst/>
        </a:blip>
        <a:srcRect l="0" t="0" r="4356" b="75451"/>
        <a:stretch>
          <a:fillRect/>
        </a:stretch>
      </xdr:blipFill>
      <xdr:spPr>
        <a:xfrm>
          <a:off x="459924" y="6046513"/>
          <a:ext cx="648828" cy="6495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487660</xdr:colOff>
      <xdr:row>10</xdr:row>
      <xdr:rowOff>19921</xdr:rowOff>
    </xdr:from>
    <xdr:to>
      <xdr:col>0</xdr:col>
      <xdr:colOff>1137475</xdr:colOff>
      <xdr:row>10</xdr:row>
      <xdr:rowOff>687931</xdr:rowOff>
    </xdr:to>
    <xdr:pic>
      <xdr:nvPicPr>
        <xdr:cNvPr id="12" name="Imagen 5" descr="Imagen 5"/>
        <xdr:cNvPicPr>
          <a:picLocks noChangeAspect="1"/>
        </xdr:cNvPicPr>
      </xdr:nvPicPr>
      <xdr:blipFill>
        <a:blip r:embed="rId3">
          <a:extLst/>
        </a:blip>
        <a:srcRect l="0" t="74007" r="0" b="0"/>
        <a:stretch>
          <a:fillRect/>
        </a:stretch>
      </xdr:blipFill>
      <xdr:spPr>
        <a:xfrm>
          <a:off x="487660" y="7477996"/>
          <a:ext cx="649816" cy="6680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451782</xdr:colOff>
      <xdr:row>8</xdr:row>
      <xdr:rowOff>683346</xdr:rowOff>
    </xdr:from>
    <xdr:to>
      <xdr:col>1</xdr:col>
      <xdr:colOff>16720</xdr:colOff>
      <xdr:row>9</xdr:row>
      <xdr:rowOff>673776</xdr:rowOff>
    </xdr:to>
    <xdr:pic>
      <xdr:nvPicPr>
        <xdr:cNvPr id="13" name="Imagen 6" descr="Imagen 6"/>
        <xdr:cNvPicPr>
          <a:picLocks noChangeAspect="1"/>
        </xdr:cNvPicPr>
      </xdr:nvPicPr>
      <xdr:blipFill>
        <a:blip r:embed="rId3">
          <a:extLst/>
        </a:blip>
        <a:srcRect l="0" t="24549" r="0" b="50180"/>
        <a:stretch>
          <a:fillRect/>
        </a:stretch>
      </xdr:blipFill>
      <xdr:spPr>
        <a:xfrm>
          <a:off x="451782" y="6750771"/>
          <a:ext cx="796839" cy="6857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501494</xdr:colOff>
      <xdr:row>10</xdr:row>
      <xdr:rowOff>654535</xdr:rowOff>
    </xdr:from>
    <xdr:to>
      <xdr:col>7</xdr:col>
      <xdr:colOff>1088349</xdr:colOff>
      <xdr:row>11</xdr:row>
      <xdr:rowOff>607970</xdr:rowOff>
    </xdr:to>
    <xdr:pic>
      <xdr:nvPicPr>
        <xdr:cNvPr id="14" name="Imagen 7" descr="Imagen 7"/>
        <xdr:cNvPicPr>
          <a:picLocks noChangeAspect="1"/>
        </xdr:cNvPicPr>
      </xdr:nvPicPr>
      <xdr:blipFill>
        <a:blip r:embed="rId4">
          <a:extLst/>
        </a:blip>
        <a:srcRect l="12925" t="75693" r="0" b="0"/>
        <a:stretch>
          <a:fillRect/>
        </a:stretch>
      </xdr:blipFill>
      <xdr:spPr>
        <a:xfrm>
          <a:off x="9124794" y="8112610"/>
          <a:ext cx="586856" cy="648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493134</xdr:colOff>
      <xdr:row>8</xdr:row>
      <xdr:rowOff>32079</xdr:rowOff>
    </xdr:from>
    <xdr:to>
      <xdr:col>7</xdr:col>
      <xdr:colOff>1035050</xdr:colOff>
      <xdr:row>8</xdr:row>
      <xdr:rowOff>607618</xdr:rowOff>
    </xdr:to>
    <xdr:pic>
      <xdr:nvPicPr>
        <xdr:cNvPr id="15" name="Imagen 8" descr="Imagen 8"/>
        <xdr:cNvPicPr>
          <a:picLocks noChangeAspect="1"/>
        </xdr:cNvPicPr>
      </xdr:nvPicPr>
      <xdr:blipFill>
        <a:blip r:embed="rId4">
          <a:extLst/>
        </a:blip>
        <a:srcRect l="11564" t="0" r="0" b="75480"/>
        <a:stretch>
          <a:fillRect/>
        </a:stretch>
      </xdr:blipFill>
      <xdr:spPr>
        <a:xfrm>
          <a:off x="9116434" y="6099504"/>
          <a:ext cx="541916" cy="5755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471368</xdr:colOff>
      <xdr:row>9</xdr:row>
      <xdr:rowOff>5881</xdr:rowOff>
    </xdr:from>
    <xdr:to>
      <xdr:col>7</xdr:col>
      <xdr:colOff>1049867</xdr:colOff>
      <xdr:row>9</xdr:row>
      <xdr:rowOff>553587</xdr:rowOff>
    </xdr:to>
    <xdr:pic>
      <xdr:nvPicPr>
        <xdr:cNvPr id="16" name="Imagen 9" descr="Imagen 9"/>
        <xdr:cNvPicPr>
          <a:picLocks noChangeAspect="1"/>
        </xdr:cNvPicPr>
      </xdr:nvPicPr>
      <xdr:blipFill>
        <a:blip r:embed="rId4">
          <a:extLst/>
        </a:blip>
        <a:srcRect l="8163" t="27506" r="0" b="49466"/>
        <a:stretch>
          <a:fillRect/>
        </a:stretch>
      </xdr:blipFill>
      <xdr:spPr>
        <a:xfrm>
          <a:off x="9094668" y="6768631"/>
          <a:ext cx="578500" cy="5477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479407</xdr:colOff>
      <xdr:row>9</xdr:row>
      <xdr:rowOff>646610</xdr:rowOff>
    </xdr:from>
    <xdr:to>
      <xdr:col>7</xdr:col>
      <xdr:colOff>1057256</xdr:colOff>
      <xdr:row>10</xdr:row>
      <xdr:rowOff>539615</xdr:rowOff>
    </xdr:to>
    <xdr:pic>
      <xdr:nvPicPr>
        <xdr:cNvPr id="17" name="Imagen 10" descr="Imagen 10"/>
        <xdr:cNvPicPr>
          <a:picLocks noChangeAspect="1"/>
        </xdr:cNvPicPr>
      </xdr:nvPicPr>
      <xdr:blipFill>
        <a:blip r:embed="rId4">
          <a:extLst/>
        </a:blip>
        <a:srcRect l="10204" t="50746" r="0" b="25585"/>
        <a:stretch>
          <a:fillRect/>
        </a:stretch>
      </xdr:blipFill>
      <xdr:spPr>
        <a:xfrm>
          <a:off x="9102707" y="7409360"/>
          <a:ext cx="577850" cy="5883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657505</xdr:colOff>
      <xdr:row>8</xdr:row>
      <xdr:rowOff>112759</xdr:rowOff>
    </xdr:from>
    <xdr:to>
      <xdr:col>5</xdr:col>
      <xdr:colOff>1132611</xdr:colOff>
      <xdr:row>8</xdr:row>
      <xdr:rowOff>565240</xdr:rowOff>
    </xdr:to>
    <xdr:sp>
      <xdr:nvSpPr>
        <xdr:cNvPr id="18" name="Rectangle 4"/>
        <xdr:cNvSpPr/>
      </xdr:nvSpPr>
      <xdr:spPr>
        <a:xfrm>
          <a:off x="6817005" y="6180184"/>
          <a:ext cx="475107" cy="452482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698580</xdr:colOff>
      <xdr:row>8</xdr:row>
      <xdr:rowOff>123823</xdr:rowOff>
    </xdr:from>
    <xdr:to>
      <xdr:col>16</xdr:col>
      <xdr:colOff>34674</xdr:colOff>
      <xdr:row>8</xdr:row>
      <xdr:rowOff>575140</xdr:rowOff>
    </xdr:to>
    <xdr:sp>
      <xdr:nvSpPr>
        <xdr:cNvPr id="19" name="Rectangle 4"/>
        <xdr:cNvSpPr/>
      </xdr:nvSpPr>
      <xdr:spPr>
        <a:xfrm>
          <a:off x="19177080" y="6191248"/>
          <a:ext cx="56799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695318</xdr:colOff>
      <xdr:row>9</xdr:row>
      <xdr:rowOff>129029</xdr:rowOff>
    </xdr:from>
    <xdr:to>
      <xdr:col>16</xdr:col>
      <xdr:colOff>31411</xdr:colOff>
      <xdr:row>9</xdr:row>
      <xdr:rowOff>580346</xdr:rowOff>
    </xdr:to>
    <xdr:sp>
      <xdr:nvSpPr>
        <xdr:cNvPr id="20" name="Rectangle 4"/>
        <xdr:cNvSpPr/>
      </xdr:nvSpPr>
      <xdr:spPr>
        <a:xfrm>
          <a:off x="19173818" y="6891779"/>
          <a:ext cx="567994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693176</xdr:colOff>
      <xdr:row>10</xdr:row>
      <xdr:rowOff>116775</xdr:rowOff>
    </xdr:from>
    <xdr:to>
      <xdr:col>16</xdr:col>
      <xdr:colOff>31303</xdr:colOff>
      <xdr:row>10</xdr:row>
      <xdr:rowOff>568093</xdr:rowOff>
    </xdr:to>
    <xdr:sp>
      <xdr:nvSpPr>
        <xdr:cNvPr id="21" name="Rectangle 4"/>
        <xdr:cNvSpPr/>
      </xdr:nvSpPr>
      <xdr:spPr>
        <a:xfrm>
          <a:off x="19171676" y="7574850"/>
          <a:ext cx="570028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690205</xdr:colOff>
      <xdr:row>11</xdr:row>
      <xdr:rowOff>134991</xdr:rowOff>
    </xdr:from>
    <xdr:to>
      <xdr:col>16</xdr:col>
      <xdr:colOff>26299</xdr:colOff>
      <xdr:row>11</xdr:row>
      <xdr:rowOff>585740</xdr:rowOff>
    </xdr:to>
    <xdr:sp>
      <xdr:nvSpPr>
        <xdr:cNvPr id="22" name="Rectangle 4"/>
        <xdr:cNvSpPr/>
      </xdr:nvSpPr>
      <xdr:spPr>
        <a:xfrm>
          <a:off x="19168705" y="8288391"/>
          <a:ext cx="567995" cy="450750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189089</xdr:colOff>
      <xdr:row>4</xdr:row>
      <xdr:rowOff>67733</xdr:rowOff>
    </xdr:from>
    <xdr:to>
      <xdr:col>15</xdr:col>
      <xdr:colOff>866421</xdr:colOff>
      <xdr:row>4</xdr:row>
      <xdr:rowOff>81843</xdr:rowOff>
    </xdr:to>
    <xdr:sp>
      <xdr:nvSpPr>
        <xdr:cNvPr id="23" name="Conector recto 16"/>
        <xdr:cNvSpPr/>
      </xdr:nvSpPr>
      <xdr:spPr>
        <a:xfrm flipV="1">
          <a:off x="10044289" y="3353858"/>
          <a:ext cx="9300633" cy="14111"/>
        </a:xfrm>
        <a:prstGeom prst="line">
          <a:avLst/>
        </a:prstGeom>
        <a:noFill/>
        <a:ln w="19050" cap="flat">
          <a:solidFill>
            <a:srgbClr val="00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524886</xdr:colOff>
      <xdr:row>18</xdr:row>
      <xdr:rowOff>613279</xdr:rowOff>
    </xdr:from>
    <xdr:to>
      <xdr:col>0</xdr:col>
      <xdr:colOff>1108676</xdr:colOff>
      <xdr:row>19</xdr:row>
      <xdr:rowOff>502936</xdr:rowOff>
    </xdr:to>
    <xdr:pic>
      <xdr:nvPicPr>
        <xdr:cNvPr id="24" name="Imagen 17" descr="Imagen 17"/>
        <xdr:cNvPicPr>
          <a:picLocks noChangeAspect="1"/>
        </xdr:cNvPicPr>
      </xdr:nvPicPr>
      <xdr:blipFill>
        <a:blip r:embed="rId5">
          <a:extLst/>
        </a:blip>
        <a:srcRect l="0" t="81929" r="0" b="0"/>
        <a:stretch>
          <a:fillRect/>
        </a:stretch>
      </xdr:blipFill>
      <xdr:spPr>
        <a:xfrm>
          <a:off x="524885" y="13633954"/>
          <a:ext cx="583792" cy="58498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494816</xdr:colOff>
      <xdr:row>15</xdr:row>
      <xdr:rowOff>1812</xdr:rowOff>
    </xdr:from>
    <xdr:to>
      <xdr:col>0</xdr:col>
      <xdr:colOff>1097569</xdr:colOff>
      <xdr:row>15</xdr:row>
      <xdr:rowOff>542325</xdr:rowOff>
    </xdr:to>
    <xdr:pic>
      <xdr:nvPicPr>
        <xdr:cNvPr id="25" name="Imagen 18" descr="Imagen 18"/>
        <xdr:cNvPicPr>
          <a:picLocks noChangeAspect="1"/>
        </xdr:cNvPicPr>
      </xdr:nvPicPr>
      <xdr:blipFill>
        <a:blip r:embed="rId5">
          <a:extLst/>
        </a:blip>
        <a:srcRect l="0" t="0" r="0" b="83184"/>
        <a:stretch>
          <a:fillRect/>
        </a:stretch>
      </xdr:blipFill>
      <xdr:spPr>
        <a:xfrm>
          <a:off x="494816" y="10936512"/>
          <a:ext cx="602753" cy="54051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503165</xdr:colOff>
      <xdr:row>15</xdr:row>
      <xdr:rowOff>630738</xdr:rowOff>
    </xdr:from>
    <xdr:to>
      <xdr:col>0</xdr:col>
      <xdr:colOff>1085261</xdr:colOff>
      <xdr:row>16</xdr:row>
      <xdr:rowOff>493196</xdr:rowOff>
    </xdr:to>
    <xdr:pic>
      <xdr:nvPicPr>
        <xdr:cNvPr id="26" name="Imagen 19" descr="Imagen 19"/>
        <xdr:cNvPicPr>
          <a:picLocks noChangeAspect="1"/>
        </xdr:cNvPicPr>
      </xdr:nvPicPr>
      <xdr:blipFill>
        <a:blip r:embed="rId5">
          <a:extLst/>
        </a:blip>
        <a:srcRect l="0" t="22860" r="0" b="59903"/>
        <a:stretch>
          <a:fillRect/>
        </a:stretch>
      </xdr:blipFill>
      <xdr:spPr>
        <a:xfrm>
          <a:off x="503165" y="11565438"/>
          <a:ext cx="582096" cy="5577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506027</xdr:colOff>
      <xdr:row>16</xdr:row>
      <xdr:rowOff>617714</xdr:rowOff>
    </xdr:from>
    <xdr:to>
      <xdr:col>0</xdr:col>
      <xdr:colOff>1097508</xdr:colOff>
      <xdr:row>17</xdr:row>
      <xdr:rowOff>463842</xdr:rowOff>
    </xdr:to>
    <xdr:pic>
      <xdr:nvPicPr>
        <xdr:cNvPr id="27" name="Imagen 20" descr="Imagen 20"/>
        <xdr:cNvPicPr>
          <a:picLocks noChangeAspect="1"/>
        </xdr:cNvPicPr>
      </xdr:nvPicPr>
      <xdr:blipFill>
        <a:blip r:embed="rId5">
          <a:extLst/>
        </a:blip>
        <a:srcRect l="0" t="44349" r="0" b="39086"/>
        <a:stretch>
          <a:fillRect/>
        </a:stretch>
      </xdr:blipFill>
      <xdr:spPr>
        <a:xfrm>
          <a:off x="506027" y="12247739"/>
          <a:ext cx="591482" cy="5414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524011</xdr:colOff>
      <xdr:row>17</xdr:row>
      <xdr:rowOff>636461</xdr:rowOff>
    </xdr:from>
    <xdr:to>
      <xdr:col>0</xdr:col>
      <xdr:colOff>1107801</xdr:colOff>
      <xdr:row>18</xdr:row>
      <xdr:rowOff>477027</xdr:rowOff>
    </xdr:to>
    <xdr:pic>
      <xdr:nvPicPr>
        <xdr:cNvPr id="28" name="Imagen 21" descr="Imagen 21"/>
        <xdr:cNvPicPr>
          <a:picLocks noChangeAspect="1"/>
        </xdr:cNvPicPr>
      </xdr:nvPicPr>
      <xdr:blipFill>
        <a:blip r:embed="rId5">
          <a:extLst/>
        </a:blip>
        <a:srcRect l="0" t="63599" r="0" b="19835"/>
        <a:stretch>
          <a:fillRect/>
        </a:stretch>
      </xdr:blipFill>
      <xdr:spPr>
        <a:xfrm>
          <a:off x="524010" y="12961811"/>
          <a:ext cx="583791" cy="5358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682181</xdr:colOff>
      <xdr:row>16</xdr:row>
      <xdr:rowOff>212070</xdr:rowOff>
    </xdr:from>
    <xdr:to>
      <xdr:col>6</xdr:col>
      <xdr:colOff>15354</xdr:colOff>
      <xdr:row>16</xdr:row>
      <xdr:rowOff>663388</xdr:rowOff>
    </xdr:to>
    <xdr:sp>
      <xdr:nvSpPr>
        <xdr:cNvPr id="29" name="Rectangle 4"/>
        <xdr:cNvSpPr/>
      </xdr:nvSpPr>
      <xdr:spPr>
        <a:xfrm>
          <a:off x="6841681" y="11842095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690312</xdr:colOff>
      <xdr:row>17</xdr:row>
      <xdr:rowOff>201107</xdr:rowOff>
    </xdr:from>
    <xdr:to>
      <xdr:col>6</xdr:col>
      <xdr:colOff>23485</xdr:colOff>
      <xdr:row>17</xdr:row>
      <xdr:rowOff>652425</xdr:rowOff>
    </xdr:to>
    <xdr:sp>
      <xdr:nvSpPr>
        <xdr:cNvPr id="30" name="Rectangle 4"/>
        <xdr:cNvSpPr/>
      </xdr:nvSpPr>
      <xdr:spPr>
        <a:xfrm>
          <a:off x="6849812" y="12526457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688155</xdr:colOff>
      <xdr:row>15</xdr:row>
      <xdr:rowOff>218750</xdr:rowOff>
    </xdr:from>
    <xdr:to>
      <xdr:col>6</xdr:col>
      <xdr:colOff>18179</xdr:colOff>
      <xdr:row>15</xdr:row>
      <xdr:rowOff>670067</xdr:rowOff>
    </xdr:to>
    <xdr:sp>
      <xdr:nvSpPr>
        <xdr:cNvPr id="31" name="Rectangle 4"/>
        <xdr:cNvSpPr/>
      </xdr:nvSpPr>
      <xdr:spPr>
        <a:xfrm>
          <a:off x="6847655" y="11153450"/>
          <a:ext cx="56192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603959</xdr:colOff>
      <xdr:row>17</xdr:row>
      <xdr:rowOff>127300</xdr:rowOff>
    </xdr:from>
    <xdr:to>
      <xdr:col>7</xdr:col>
      <xdr:colOff>1103013</xdr:colOff>
      <xdr:row>18</xdr:row>
      <xdr:rowOff>16233</xdr:rowOff>
    </xdr:to>
    <xdr:pic>
      <xdr:nvPicPr>
        <xdr:cNvPr id="32" name="Imagen 25" descr="Imagen 25"/>
        <xdr:cNvPicPr>
          <a:picLocks noChangeAspect="1"/>
        </xdr:cNvPicPr>
      </xdr:nvPicPr>
      <xdr:blipFill>
        <a:blip r:embed="rId6">
          <a:extLst/>
        </a:blip>
        <a:srcRect l="0" t="428" r="0" b="83905"/>
        <a:stretch>
          <a:fillRect/>
        </a:stretch>
      </xdr:blipFill>
      <xdr:spPr>
        <a:xfrm>
          <a:off x="9227259" y="12452650"/>
          <a:ext cx="499055" cy="5842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637708</xdr:colOff>
      <xdr:row>18</xdr:row>
      <xdr:rowOff>97342</xdr:rowOff>
    </xdr:from>
    <xdr:to>
      <xdr:col>11</xdr:col>
      <xdr:colOff>4232</xdr:colOff>
      <xdr:row>18</xdr:row>
      <xdr:rowOff>607102</xdr:rowOff>
    </xdr:to>
    <xdr:pic>
      <xdr:nvPicPr>
        <xdr:cNvPr id="33" name="Imagen 26" descr="Imagen 26"/>
        <xdr:cNvPicPr>
          <a:picLocks noChangeAspect="1"/>
        </xdr:cNvPicPr>
      </xdr:nvPicPr>
      <xdr:blipFill>
        <a:blip r:embed="rId7">
          <a:extLst/>
        </a:blip>
        <a:srcRect l="0" t="14319" r="108" b="71356"/>
        <a:stretch>
          <a:fillRect/>
        </a:stretch>
      </xdr:blipFill>
      <xdr:spPr>
        <a:xfrm>
          <a:off x="12956708" y="13118017"/>
          <a:ext cx="598425" cy="509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672327</xdr:colOff>
      <xdr:row>19</xdr:row>
      <xdr:rowOff>133754</xdr:rowOff>
    </xdr:from>
    <xdr:to>
      <xdr:col>11</xdr:col>
      <xdr:colOff>4232</xdr:colOff>
      <xdr:row>19</xdr:row>
      <xdr:rowOff>582724</xdr:rowOff>
    </xdr:to>
    <xdr:pic>
      <xdr:nvPicPr>
        <xdr:cNvPr id="34" name="Imagen 27" descr="Imagen 27"/>
        <xdr:cNvPicPr>
          <a:picLocks noChangeAspect="1"/>
        </xdr:cNvPicPr>
      </xdr:nvPicPr>
      <xdr:blipFill>
        <a:blip r:embed="rId7">
          <a:extLst/>
        </a:blip>
        <a:srcRect l="0" t="30153" r="0" b="56434"/>
        <a:stretch>
          <a:fillRect/>
        </a:stretch>
      </xdr:blipFill>
      <xdr:spPr>
        <a:xfrm>
          <a:off x="12991327" y="13849754"/>
          <a:ext cx="563806" cy="4489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709972</xdr:colOff>
      <xdr:row>23</xdr:row>
      <xdr:rowOff>161703</xdr:rowOff>
    </xdr:from>
    <xdr:to>
      <xdr:col>11</xdr:col>
      <xdr:colOff>2539</xdr:colOff>
      <xdr:row>23</xdr:row>
      <xdr:rowOff>579868</xdr:rowOff>
    </xdr:to>
    <xdr:pic>
      <xdr:nvPicPr>
        <xdr:cNvPr id="35" name="Imagen 28" descr="Imagen 28"/>
        <xdr:cNvPicPr>
          <a:picLocks noChangeAspect="1"/>
        </xdr:cNvPicPr>
      </xdr:nvPicPr>
      <xdr:blipFill>
        <a:blip r:embed="rId7">
          <a:extLst/>
        </a:blip>
        <a:srcRect l="0" t="86677" r="0" b="0"/>
        <a:stretch>
          <a:fillRect/>
        </a:stretch>
      </xdr:blipFill>
      <xdr:spPr>
        <a:xfrm>
          <a:off x="13028972" y="16659003"/>
          <a:ext cx="524468" cy="4181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660531</xdr:colOff>
      <xdr:row>20</xdr:row>
      <xdr:rowOff>131232</xdr:rowOff>
    </xdr:from>
    <xdr:to>
      <xdr:col>10</xdr:col>
      <xdr:colOff>1134532</xdr:colOff>
      <xdr:row>20</xdr:row>
      <xdr:rowOff>576794</xdr:rowOff>
    </xdr:to>
    <xdr:pic>
      <xdr:nvPicPr>
        <xdr:cNvPr id="36" name="Imagen 29" descr="Imagen 29"/>
        <xdr:cNvPicPr>
          <a:picLocks noChangeAspect="1"/>
        </xdr:cNvPicPr>
      </xdr:nvPicPr>
      <xdr:blipFill>
        <a:blip r:embed="rId7">
          <a:extLst/>
        </a:blip>
        <a:srcRect l="0" t="43629" r="0" b="42959"/>
        <a:stretch>
          <a:fillRect/>
        </a:stretch>
      </xdr:blipFill>
      <xdr:spPr>
        <a:xfrm>
          <a:off x="12979531" y="14542557"/>
          <a:ext cx="474002" cy="4455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668997</xdr:colOff>
      <xdr:row>21</xdr:row>
      <xdr:rowOff>97607</xdr:rowOff>
    </xdr:from>
    <xdr:to>
      <xdr:col>10</xdr:col>
      <xdr:colOff>1134533</xdr:colOff>
      <xdr:row>21</xdr:row>
      <xdr:rowOff>562115</xdr:rowOff>
    </xdr:to>
    <xdr:pic>
      <xdr:nvPicPr>
        <xdr:cNvPr id="37" name="Imagen 30" descr="Imagen 30"/>
        <xdr:cNvPicPr>
          <a:picLocks noChangeAspect="1"/>
        </xdr:cNvPicPr>
      </xdr:nvPicPr>
      <xdr:blipFill>
        <a:blip r:embed="rId7">
          <a:extLst/>
        </a:blip>
        <a:srcRect l="0" t="57722" r="0" b="29092"/>
        <a:stretch>
          <a:fillRect/>
        </a:stretch>
      </xdr:blipFill>
      <xdr:spPr>
        <a:xfrm>
          <a:off x="12987997" y="15204257"/>
          <a:ext cx="465537" cy="46450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705042</xdr:colOff>
      <xdr:row>22</xdr:row>
      <xdr:rowOff>146977</xdr:rowOff>
    </xdr:from>
    <xdr:to>
      <xdr:col>10</xdr:col>
      <xdr:colOff>1139612</xdr:colOff>
      <xdr:row>22</xdr:row>
      <xdr:rowOff>565363</xdr:rowOff>
    </xdr:to>
    <xdr:pic>
      <xdr:nvPicPr>
        <xdr:cNvPr id="38" name="Imagen 31" descr="Imagen 31"/>
        <xdr:cNvPicPr>
          <a:picLocks noChangeAspect="1"/>
        </xdr:cNvPicPr>
      </xdr:nvPicPr>
      <xdr:blipFill>
        <a:blip r:embed="rId7">
          <a:extLst/>
        </a:blip>
        <a:srcRect l="0" t="71218" r="0" b="15450"/>
        <a:stretch>
          <a:fillRect/>
        </a:stretch>
      </xdr:blipFill>
      <xdr:spPr>
        <a:xfrm>
          <a:off x="13024042" y="15948952"/>
          <a:ext cx="434571" cy="4183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688706</xdr:colOff>
      <xdr:row>17</xdr:row>
      <xdr:rowOff>98007</xdr:rowOff>
    </xdr:from>
    <xdr:to>
      <xdr:col>13</xdr:col>
      <xdr:colOff>1135784</xdr:colOff>
      <xdr:row>17</xdr:row>
      <xdr:rowOff>570331</xdr:rowOff>
    </xdr:to>
    <xdr:pic>
      <xdr:nvPicPr>
        <xdr:cNvPr id="39" name="Imagen 32" descr="Imagen 32"/>
        <xdr:cNvPicPr>
          <a:picLocks noChangeAspect="1"/>
        </xdr:cNvPicPr>
      </xdr:nvPicPr>
      <xdr:blipFill>
        <a:blip r:embed="rId8">
          <a:extLst/>
        </a:blip>
        <a:srcRect l="3328" t="0" r="0" b="86531"/>
        <a:stretch>
          <a:fillRect/>
        </a:stretch>
      </xdr:blipFill>
      <xdr:spPr>
        <a:xfrm>
          <a:off x="16703406" y="12423357"/>
          <a:ext cx="447079" cy="4723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694650</xdr:colOff>
      <xdr:row>18</xdr:row>
      <xdr:rowOff>10461</xdr:rowOff>
    </xdr:from>
    <xdr:to>
      <xdr:col>14</xdr:col>
      <xdr:colOff>11538</xdr:colOff>
      <xdr:row>18</xdr:row>
      <xdr:rowOff>568422</xdr:rowOff>
    </xdr:to>
    <xdr:pic>
      <xdr:nvPicPr>
        <xdr:cNvPr id="40" name="Imagen 33" descr="Imagen 33"/>
        <xdr:cNvPicPr>
          <a:picLocks noChangeAspect="1"/>
        </xdr:cNvPicPr>
      </xdr:nvPicPr>
      <xdr:blipFill>
        <a:blip r:embed="rId8">
          <a:extLst/>
        </a:blip>
        <a:srcRect l="0" t="16879" r="1232" b="66990"/>
        <a:stretch>
          <a:fillRect/>
        </a:stretch>
      </xdr:blipFill>
      <xdr:spPr>
        <a:xfrm>
          <a:off x="16709350" y="13031136"/>
          <a:ext cx="548789" cy="5579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14</xdr:col>
      <xdr:colOff>158750</xdr:colOff>
      <xdr:row>25</xdr:row>
      <xdr:rowOff>663410</xdr:rowOff>
    </xdr:from>
    <xdr:to>
      <xdr:col>16</xdr:col>
      <xdr:colOff>24694</xdr:colOff>
      <xdr:row>27</xdr:row>
      <xdr:rowOff>306802</xdr:rowOff>
    </xdr:to>
    <xdr:pic>
      <xdr:nvPicPr>
        <xdr:cNvPr id="41" name="Imagen 34" descr="Imagen 34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7405350" y="18551360"/>
          <a:ext cx="2329745" cy="10340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622451</xdr:colOff>
      <xdr:row>19</xdr:row>
      <xdr:rowOff>32379</xdr:rowOff>
    </xdr:from>
    <xdr:to>
      <xdr:col>8</xdr:col>
      <xdr:colOff>244</xdr:colOff>
      <xdr:row>19</xdr:row>
      <xdr:rowOff>624101</xdr:rowOff>
    </xdr:to>
    <xdr:pic>
      <xdr:nvPicPr>
        <xdr:cNvPr id="42" name="Imagen 36" descr="Imagen 36"/>
        <xdr:cNvPicPr>
          <a:picLocks noChangeAspect="1"/>
        </xdr:cNvPicPr>
      </xdr:nvPicPr>
      <xdr:blipFill>
        <a:blip r:embed="rId6">
          <a:extLst/>
        </a:blip>
        <a:srcRect l="1" t="50910" r="570" b="33484"/>
        <a:stretch>
          <a:fillRect/>
        </a:stretch>
      </xdr:blipFill>
      <xdr:spPr>
        <a:xfrm>
          <a:off x="9245751" y="13748379"/>
          <a:ext cx="609694" cy="59172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648609</xdr:colOff>
      <xdr:row>9</xdr:row>
      <xdr:rowOff>122581</xdr:rowOff>
    </xdr:from>
    <xdr:to>
      <xdr:col>5</xdr:col>
      <xdr:colOff>1123714</xdr:colOff>
      <xdr:row>9</xdr:row>
      <xdr:rowOff>575063</xdr:rowOff>
    </xdr:to>
    <xdr:sp>
      <xdr:nvSpPr>
        <xdr:cNvPr id="43" name="Rectangle 4"/>
        <xdr:cNvSpPr/>
      </xdr:nvSpPr>
      <xdr:spPr>
        <a:xfrm>
          <a:off x="6808109" y="6885331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659237</xdr:colOff>
      <xdr:row>10</xdr:row>
      <xdr:rowOff>145419</xdr:rowOff>
    </xdr:from>
    <xdr:to>
      <xdr:col>5</xdr:col>
      <xdr:colOff>1134342</xdr:colOff>
      <xdr:row>10</xdr:row>
      <xdr:rowOff>597901</xdr:rowOff>
    </xdr:to>
    <xdr:sp>
      <xdr:nvSpPr>
        <xdr:cNvPr id="44" name="Rectangle 4"/>
        <xdr:cNvSpPr/>
      </xdr:nvSpPr>
      <xdr:spPr>
        <a:xfrm>
          <a:off x="6818737" y="7603494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682294</xdr:colOff>
      <xdr:row>18</xdr:row>
      <xdr:rowOff>133751</xdr:rowOff>
    </xdr:from>
    <xdr:to>
      <xdr:col>6</xdr:col>
      <xdr:colOff>15467</xdr:colOff>
      <xdr:row>18</xdr:row>
      <xdr:rowOff>585811</xdr:rowOff>
    </xdr:to>
    <xdr:sp>
      <xdr:nvSpPr>
        <xdr:cNvPr id="45" name="Rectangle 4"/>
        <xdr:cNvSpPr/>
      </xdr:nvSpPr>
      <xdr:spPr>
        <a:xfrm>
          <a:off x="6841794" y="13154426"/>
          <a:ext cx="565074" cy="452061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683025</xdr:colOff>
      <xdr:row>19</xdr:row>
      <xdr:rowOff>108264</xdr:rowOff>
    </xdr:from>
    <xdr:to>
      <xdr:col>6</xdr:col>
      <xdr:colOff>16198</xdr:colOff>
      <xdr:row>19</xdr:row>
      <xdr:rowOff>560149</xdr:rowOff>
    </xdr:to>
    <xdr:sp>
      <xdr:nvSpPr>
        <xdr:cNvPr id="46" name="Rectangle 4"/>
        <xdr:cNvSpPr/>
      </xdr:nvSpPr>
      <xdr:spPr>
        <a:xfrm>
          <a:off x="6842525" y="13824264"/>
          <a:ext cx="565074" cy="451886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624155</xdr:colOff>
      <xdr:row>19</xdr:row>
      <xdr:rowOff>578026</xdr:rowOff>
    </xdr:from>
    <xdr:to>
      <xdr:col>7</xdr:col>
      <xdr:colOff>1225644</xdr:colOff>
      <xdr:row>20</xdr:row>
      <xdr:rowOff>613134</xdr:rowOff>
    </xdr:to>
    <xdr:pic>
      <xdr:nvPicPr>
        <xdr:cNvPr id="47" name="Imagen 41" descr="Imagen 41"/>
        <xdr:cNvPicPr>
          <a:picLocks noChangeAspect="1"/>
        </xdr:cNvPicPr>
      </xdr:nvPicPr>
      <xdr:blipFill>
        <a:blip r:embed="rId6">
          <a:extLst/>
        </a:blip>
        <a:srcRect l="0" t="64840" r="0" b="16097"/>
        <a:stretch>
          <a:fillRect/>
        </a:stretch>
      </xdr:blipFill>
      <xdr:spPr>
        <a:xfrm>
          <a:off x="9247455" y="14294026"/>
          <a:ext cx="601490" cy="7304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639992</xdr:colOff>
      <xdr:row>21</xdr:row>
      <xdr:rowOff>105076</xdr:rowOff>
    </xdr:from>
    <xdr:to>
      <xdr:col>7</xdr:col>
      <xdr:colOff>1220089</xdr:colOff>
      <xdr:row>21</xdr:row>
      <xdr:rowOff>588432</xdr:rowOff>
    </xdr:to>
    <xdr:pic>
      <xdr:nvPicPr>
        <xdr:cNvPr id="48" name="Imagen 42" descr="Imagen 42"/>
        <xdr:cNvPicPr>
          <a:picLocks noChangeAspect="1"/>
        </xdr:cNvPicPr>
      </xdr:nvPicPr>
      <xdr:blipFill>
        <a:blip r:embed="rId6">
          <a:extLst/>
        </a:blip>
        <a:srcRect l="0" t="87080" r="0" b="0"/>
        <a:stretch>
          <a:fillRect/>
        </a:stretch>
      </xdr:blipFill>
      <xdr:spPr>
        <a:xfrm>
          <a:off x="9263292" y="15211726"/>
          <a:ext cx="580098" cy="4833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628081</xdr:colOff>
      <xdr:row>18</xdr:row>
      <xdr:rowOff>61374</xdr:rowOff>
    </xdr:from>
    <xdr:to>
      <xdr:col>7</xdr:col>
      <xdr:colOff>1127206</xdr:colOff>
      <xdr:row>18</xdr:row>
      <xdr:rowOff>634054</xdr:rowOff>
    </xdr:to>
    <xdr:pic>
      <xdr:nvPicPr>
        <xdr:cNvPr id="49" name="Imagen 43" descr="Imagen 43"/>
        <xdr:cNvPicPr>
          <a:picLocks noChangeAspect="1"/>
        </xdr:cNvPicPr>
      </xdr:nvPicPr>
      <xdr:blipFill>
        <a:blip r:embed="rId6">
          <a:extLst/>
        </a:blip>
        <a:srcRect l="0" t="16132" r="0" b="68466"/>
        <a:stretch>
          <a:fillRect/>
        </a:stretch>
      </xdr:blipFill>
      <xdr:spPr>
        <a:xfrm>
          <a:off x="9251381" y="13082049"/>
          <a:ext cx="499126" cy="5726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629177</xdr:colOff>
      <xdr:row>17</xdr:row>
      <xdr:rowOff>126699</xdr:rowOff>
    </xdr:from>
    <xdr:to>
      <xdr:col>11</xdr:col>
      <xdr:colOff>6484</xdr:colOff>
      <xdr:row>17</xdr:row>
      <xdr:rowOff>642325</xdr:rowOff>
    </xdr:to>
    <xdr:pic>
      <xdr:nvPicPr>
        <xdr:cNvPr id="50" name="Imagen 44" descr="Imagen 44"/>
        <xdr:cNvPicPr>
          <a:picLocks noChangeAspect="1"/>
        </xdr:cNvPicPr>
      </xdr:nvPicPr>
      <xdr:blipFill>
        <a:blip r:embed="rId7">
          <a:extLst/>
        </a:blip>
        <a:srcRect l="0" t="363" r="0" b="85375"/>
        <a:stretch>
          <a:fillRect/>
        </a:stretch>
      </xdr:blipFill>
      <xdr:spPr>
        <a:xfrm>
          <a:off x="12948177" y="12452049"/>
          <a:ext cx="609208" cy="5156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674855</xdr:colOff>
      <xdr:row>20</xdr:row>
      <xdr:rowOff>90901</xdr:rowOff>
    </xdr:from>
    <xdr:to>
      <xdr:col>13</xdr:col>
      <xdr:colOff>1225894</xdr:colOff>
      <xdr:row>20</xdr:row>
      <xdr:rowOff>589551</xdr:rowOff>
    </xdr:to>
    <xdr:pic>
      <xdr:nvPicPr>
        <xdr:cNvPr id="51" name="Imagen 45" descr="Imagen 45"/>
        <xdr:cNvPicPr>
          <a:picLocks noChangeAspect="1"/>
        </xdr:cNvPicPr>
      </xdr:nvPicPr>
      <xdr:blipFill>
        <a:blip r:embed="rId8">
          <a:extLst/>
        </a:blip>
        <a:srcRect l="1" t="53840" r="0" b="31705"/>
        <a:stretch>
          <a:fillRect/>
        </a:stretch>
      </xdr:blipFill>
      <xdr:spPr>
        <a:xfrm>
          <a:off x="16689555" y="14502226"/>
          <a:ext cx="551040" cy="498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699099</xdr:colOff>
      <xdr:row>19</xdr:row>
      <xdr:rowOff>8654</xdr:rowOff>
    </xdr:from>
    <xdr:to>
      <xdr:col>14</xdr:col>
      <xdr:colOff>23515</xdr:colOff>
      <xdr:row>19</xdr:row>
      <xdr:rowOff>641348</xdr:rowOff>
    </xdr:to>
    <xdr:pic>
      <xdr:nvPicPr>
        <xdr:cNvPr id="52" name="Imagen 46" descr="Imagen 46"/>
        <xdr:cNvPicPr>
          <a:picLocks noChangeAspect="1"/>
        </xdr:cNvPicPr>
      </xdr:nvPicPr>
      <xdr:blipFill>
        <a:blip r:embed="rId8">
          <a:extLst/>
        </a:blip>
        <a:srcRect l="0" t="34868" r="0" b="46838"/>
        <a:stretch>
          <a:fillRect/>
        </a:stretch>
      </xdr:blipFill>
      <xdr:spPr>
        <a:xfrm>
          <a:off x="16713799" y="13724654"/>
          <a:ext cx="556317" cy="6326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683424</xdr:colOff>
      <xdr:row>22</xdr:row>
      <xdr:rowOff>84795</xdr:rowOff>
    </xdr:from>
    <xdr:to>
      <xdr:col>13</xdr:col>
      <xdr:colOff>1220035</xdr:colOff>
      <xdr:row>22</xdr:row>
      <xdr:rowOff>594171</xdr:rowOff>
    </xdr:to>
    <xdr:pic>
      <xdr:nvPicPr>
        <xdr:cNvPr id="53" name="Imagen 47" descr="Imagen 47"/>
        <xdr:cNvPicPr>
          <a:picLocks noChangeAspect="1"/>
        </xdr:cNvPicPr>
      </xdr:nvPicPr>
      <xdr:blipFill>
        <a:blip r:embed="rId8">
          <a:extLst/>
        </a:blip>
        <a:srcRect l="0" t="85234" r="0" b="0"/>
        <a:stretch>
          <a:fillRect/>
        </a:stretch>
      </xdr:blipFill>
      <xdr:spPr>
        <a:xfrm>
          <a:off x="16698124" y="15886770"/>
          <a:ext cx="536612" cy="5093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678696</xdr:colOff>
      <xdr:row>21</xdr:row>
      <xdr:rowOff>61099</xdr:rowOff>
    </xdr:from>
    <xdr:to>
      <xdr:col>13</xdr:col>
      <xdr:colOff>1228257</xdr:colOff>
      <xdr:row>21</xdr:row>
      <xdr:rowOff>637664</xdr:rowOff>
    </xdr:to>
    <xdr:pic>
      <xdr:nvPicPr>
        <xdr:cNvPr id="54" name="Imagen 48" descr="Imagen 48"/>
        <xdr:cNvPicPr>
          <a:picLocks noChangeAspect="1"/>
        </xdr:cNvPicPr>
      </xdr:nvPicPr>
      <xdr:blipFill>
        <a:blip r:embed="rId8">
          <a:extLst/>
        </a:blip>
        <a:srcRect l="0" t="67489" r="0" b="15797"/>
        <a:stretch>
          <a:fillRect/>
        </a:stretch>
      </xdr:blipFill>
      <xdr:spPr>
        <a:xfrm>
          <a:off x="16693396" y="15167749"/>
          <a:ext cx="549562" cy="5765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252158</xdr:colOff>
      <xdr:row>0</xdr:row>
      <xdr:rowOff>455813</xdr:rowOff>
    </xdr:from>
    <xdr:to>
      <xdr:col>1</xdr:col>
      <xdr:colOff>798689</xdr:colOff>
      <xdr:row>0</xdr:row>
      <xdr:rowOff>804322</xdr:rowOff>
    </xdr:to>
    <xdr:pic>
      <xdr:nvPicPr>
        <xdr:cNvPr id="56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2158" y="455813"/>
          <a:ext cx="1638731" cy="3485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315126</xdr:colOff>
      <xdr:row>0</xdr:row>
      <xdr:rowOff>20760</xdr:rowOff>
    </xdr:from>
    <xdr:to>
      <xdr:col>6</xdr:col>
      <xdr:colOff>783088</xdr:colOff>
      <xdr:row>0</xdr:row>
      <xdr:rowOff>1234721</xdr:rowOff>
    </xdr:to>
    <xdr:pic>
      <xdr:nvPicPr>
        <xdr:cNvPr id="57" name="Imagen 8" descr="Imagen 8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941226" y="20760"/>
          <a:ext cx="1560163" cy="12139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1016196</xdr:colOff>
      <xdr:row>2</xdr:row>
      <xdr:rowOff>121740</xdr:rowOff>
    </xdr:from>
    <xdr:to>
      <xdr:col>4</xdr:col>
      <xdr:colOff>589224</xdr:colOff>
      <xdr:row>8</xdr:row>
      <xdr:rowOff>235755</xdr:rowOff>
    </xdr:to>
    <xdr:pic>
      <xdr:nvPicPr>
        <xdr:cNvPr id="58" name="Imagen 9" descr="Imagen 9"/>
        <xdr:cNvPicPr>
          <a:picLocks noChangeAspect="1"/>
        </xdr:cNvPicPr>
      </xdr:nvPicPr>
      <xdr:blipFill>
        <a:blip r:embed="rId3">
          <a:extLst/>
        </a:blip>
        <a:srcRect l="0" t="13305" r="0" b="14345"/>
        <a:stretch>
          <a:fillRect/>
        </a:stretch>
      </xdr:blipFill>
      <xdr:spPr>
        <a:xfrm flipH="1" rot="16200000">
          <a:off x="2992015" y="3327521"/>
          <a:ext cx="3317591" cy="71602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46321</xdr:colOff>
      <xdr:row>14</xdr:row>
      <xdr:rowOff>406400</xdr:rowOff>
    </xdr:from>
    <xdr:to>
      <xdr:col>1</xdr:col>
      <xdr:colOff>931335</xdr:colOff>
      <xdr:row>16</xdr:row>
      <xdr:rowOff>23119</xdr:rowOff>
    </xdr:to>
    <xdr:pic>
      <xdr:nvPicPr>
        <xdr:cNvPr id="59" name="Imagen 10" descr="Imagen 10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138521" y="9016365"/>
          <a:ext cx="885015" cy="9051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91016</xdr:colOff>
      <xdr:row>19</xdr:row>
      <xdr:rowOff>232836</xdr:rowOff>
    </xdr:from>
    <xdr:to>
      <xdr:col>11</xdr:col>
      <xdr:colOff>1090089</xdr:colOff>
      <xdr:row>21</xdr:row>
      <xdr:rowOff>80005</xdr:rowOff>
    </xdr:to>
    <xdr:pic>
      <xdr:nvPicPr>
        <xdr:cNvPr id="60" name="Imagen 11" descr="Imagen 11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2295716" y="11881911"/>
          <a:ext cx="999074" cy="8784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82825</xdr:colOff>
      <xdr:row>0</xdr:row>
      <xdr:rowOff>348043</xdr:rowOff>
    </xdr:from>
    <xdr:to>
      <xdr:col>1</xdr:col>
      <xdr:colOff>21078</xdr:colOff>
      <xdr:row>0</xdr:row>
      <xdr:rowOff>596900</xdr:rowOff>
    </xdr:to>
    <xdr:pic>
      <xdr:nvPicPr>
        <xdr:cNvPr id="6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120924</xdr:colOff>
      <xdr:row>0</xdr:row>
      <xdr:rowOff>348043</xdr:rowOff>
    </xdr:from>
    <xdr:to>
      <xdr:col>1</xdr:col>
      <xdr:colOff>59178</xdr:colOff>
      <xdr:row>0</xdr:row>
      <xdr:rowOff>596900</xdr:rowOff>
    </xdr:to>
    <xdr:pic>
      <xdr:nvPicPr>
        <xdr:cNvPr id="63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20924" y="348043"/>
          <a:ext cx="1170155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803678</xdr:colOff>
      <xdr:row>0</xdr:row>
      <xdr:rowOff>187574</xdr:rowOff>
    </xdr:from>
    <xdr:to>
      <xdr:col>7</xdr:col>
      <xdr:colOff>222987</xdr:colOff>
      <xdr:row>0</xdr:row>
      <xdr:rowOff>848308</xdr:rowOff>
    </xdr:to>
    <xdr:pic>
      <xdr:nvPicPr>
        <xdr:cNvPr id="64" name="Picture 104" descr="Picture 104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8195078" y="187574"/>
          <a:ext cx="651210" cy="6607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459924</xdr:colOff>
      <xdr:row>7</xdr:row>
      <xdr:rowOff>674413</xdr:rowOff>
    </xdr:from>
    <xdr:to>
      <xdr:col>0</xdr:col>
      <xdr:colOff>1108751</xdr:colOff>
      <xdr:row>8</xdr:row>
      <xdr:rowOff>628674</xdr:rowOff>
    </xdr:to>
    <xdr:pic>
      <xdr:nvPicPr>
        <xdr:cNvPr id="65" name="Imagen 4" descr="Imagen 4"/>
        <xdr:cNvPicPr>
          <a:picLocks noChangeAspect="1"/>
        </xdr:cNvPicPr>
      </xdr:nvPicPr>
      <xdr:blipFill>
        <a:blip r:embed="rId3">
          <a:extLst/>
        </a:blip>
        <a:srcRect l="0" t="0" r="4356" b="75451"/>
        <a:stretch>
          <a:fillRect/>
        </a:stretch>
      </xdr:blipFill>
      <xdr:spPr>
        <a:xfrm>
          <a:off x="459924" y="6046513"/>
          <a:ext cx="648828" cy="6495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487660</xdr:colOff>
      <xdr:row>10</xdr:row>
      <xdr:rowOff>19921</xdr:rowOff>
    </xdr:from>
    <xdr:to>
      <xdr:col>0</xdr:col>
      <xdr:colOff>1137475</xdr:colOff>
      <xdr:row>10</xdr:row>
      <xdr:rowOff>687931</xdr:rowOff>
    </xdr:to>
    <xdr:pic>
      <xdr:nvPicPr>
        <xdr:cNvPr id="66" name="Imagen 5" descr="Imagen 5"/>
        <xdr:cNvPicPr>
          <a:picLocks noChangeAspect="1"/>
        </xdr:cNvPicPr>
      </xdr:nvPicPr>
      <xdr:blipFill>
        <a:blip r:embed="rId3">
          <a:extLst/>
        </a:blip>
        <a:srcRect l="0" t="74007" r="0" b="0"/>
        <a:stretch>
          <a:fillRect/>
        </a:stretch>
      </xdr:blipFill>
      <xdr:spPr>
        <a:xfrm>
          <a:off x="487660" y="7477996"/>
          <a:ext cx="649816" cy="6680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451782</xdr:colOff>
      <xdr:row>8</xdr:row>
      <xdr:rowOff>683346</xdr:rowOff>
    </xdr:from>
    <xdr:to>
      <xdr:col>1</xdr:col>
      <xdr:colOff>16720</xdr:colOff>
      <xdr:row>9</xdr:row>
      <xdr:rowOff>673776</xdr:rowOff>
    </xdr:to>
    <xdr:pic>
      <xdr:nvPicPr>
        <xdr:cNvPr id="67" name="Imagen 6" descr="Imagen 6"/>
        <xdr:cNvPicPr>
          <a:picLocks noChangeAspect="1"/>
        </xdr:cNvPicPr>
      </xdr:nvPicPr>
      <xdr:blipFill>
        <a:blip r:embed="rId3">
          <a:extLst/>
        </a:blip>
        <a:srcRect l="0" t="24549" r="0" b="50180"/>
        <a:stretch>
          <a:fillRect/>
        </a:stretch>
      </xdr:blipFill>
      <xdr:spPr>
        <a:xfrm>
          <a:off x="451782" y="6750771"/>
          <a:ext cx="796839" cy="6857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501494</xdr:colOff>
      <xdr:row>10</xdr:row>
      <xdr:rowOff>654535</xdr:rowOff>
    </xdr:from>
    <xdr:to>
      <xdr:col>7</xdr:col>
      <xdr:colOff>1088349</xdr:colOff>
      <xdr:row>11</xdr:row>
      <xdr:rowOff>607970</xdr:rowOff>
    </xdr:to>
    <xdr:pic>
      <xdr:nvPicPr>
        <xdr:cNvPr id="68" name="Imagen 7" descr="Imagen 7"/>
        <xdr:cNvPicPr>
          <a:picLocks noChangeAspect="1"/>
        </xdr:cNvPicPr>
      </xdr:nvPicPr>
      <xdr:blipFill>
        <a:blip r:embed="rId4">
          <a:extLst/>
        </a:blip>
        <a:srcRect l="12925" t="75693" r="0" b="0"/>
        <a:stretch>
          <a:fillRect/>
        </a:stretch>
      </xdr:blipFill>
      <xdr:spPr>
        <a:xfrm>
          <a:off x="9124794" y="8112610"/>
          <a:ext cx="586856" cy="648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493134</xdr:colOff>
      <xdr:row>8</xdr:row>
      <xdr:rowOff>32079</xdr:rowOff>
    </xdr:from>
    <xdr:to>
      <xdr:col>7</xdr:col>
      <xdr:colOff>1035050</xdr:colOff>
      <xdr:row>8</xdr:row>
      <xdr:rowOff>607618</xdr:rowOff>
    </xdr:to>
    <xdr:pic>
      <xdr:nvPicPr>
        <xdr:cNvPr id="69" name="Imagen 8" descr="Imagen 8"/>
        <xdr:cNvPicPr>
          <a:picLocks noChangeAspect="1"/>
        </xdr:cNvPicPr>
      </xdr:nvPicPr>
      <xdr:blipFill>
        <a:blip r:embed="rId4">
          <a:extLst/>
        </a:blip>
        <a:srcRect l="11564" t="0" r="0" b="75480"/>
        <a:stretch>
          <a:fillRect/>
        </a:stretch>
      </xdr:blipFill>
      <xdr:spPr>
        <a:xfrm>
          <a:off x="9116434" y="6099504"/>
          <a:ext cx="541916" cy="5755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471368</xdr:colOff>
      <xdr:row>9</xdr:row>
      <xdr:rowOff>5881</xdr:rowOff>
    </xdr:from>
    <xdr:to>
      <xdr:col>7</xdr:col>
      <xdr:colOff>1049867</xdr:colOff>
      <xdr:row>9</xdr:row>
      <xdr:rowOff>553587</xdr:rowOff>
    </xdr:to>
    <xdr:pic>
      <xdr:nvPicPr>
        <xdr:cNvPr id="70" name="Imagen 9" descr="Imagen 9"/>
        <xdr:cNvPicPr>
          <a:picLocks noChangeAspect="1"/>
        </xdr:cNvPicPr>
      </xdr:nvPicPr>
      <xdr:blipFill>
        <a:blip r:embed="rId4">
          <a:extLst/>
        </a:blip>
        <a:srcRect l="8163" t="27506" r="0" b="49466"/>
        <a:stretch>
          <a:fillRect/>
        </a:stretch>
      </xdr:blipFill>
      <xdr:spPr>
        <a:xfrm>
          <a:off x="9094668" y="6768631"/>
          <a:ext cx="578500" cy="5477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479407</xdr:colOff>
      <xdr:row>9</xdr:row>
      <xdr:rowOff>646610</xdr:rowOff>
    </xdr:from>
    <xdr:to>
      <xdr:col>7</xdr:col>
      <xdr:colOff>1057256</xdr:colOff>
      <xdr:row>10</xdr:row>
      <xdr:rowOff>539615</xdr:rowOff>
    </xdr:to>
    <xdr:pic>
      <xdr:nvPicPr>
        <xdr:cNvPr id="71" name="Imagen 10" descr="Imagen 10"/>
        <xdr:cNvPicPr>
          <a:picLocks noChangeAspect="1"/>
        </xdr:cNvPicPr>
      </xdr:nvPicPr>
      <xdr:blipFill>
        <a:blip r:embed="rId4">
          <a:extLst/>
        </a:blip>
        <a:srcRect l="10204" t="50746" r="0" b="25585"/>
        <a:stretch>
          <a:fillRect/>
        </a:stretch>
      </xdr:blipFill>
      <xdr:spPr>
        <a:xfrm>
          <a:off x="9102707" y="7409360"/>
          <a:ext cx="577850" cy="5883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657505</xdr:colOff>
      <xdr:row>8</xdr:row>
      <xdr:rowOff>112759</xdr:rowOff>
    </xdr:from>
    <xdr:to>
      <xdr:col>5</xdr:col>
      <xdr:colOff>1132611</xdr:colOff>
      <xdr:row>8</xdr:row>
      <xdr:rowOff>565240</xdr:rowOff>
    </xdr:to>
    <xdr:sp>
      <xdr:nvSpPr>
        <xdr:cNvPr id="72" name="Rectangle 4"/>
        <xdr:cNvSpPr/>
      </xdr:nvSpPr>
      <xdr:spPr>
        <a:xfrm>
          <a:off x="6817005" y="6180184"/>
          <a:ext cx="475107" cy="452482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698580</xdr:colOff>
      <xdr:row>8</xdr:row>
      <xdr:rowOff>123823</xdr:rowOff>
    </xdr:from>
    <xdr:to>
      <xdr:col>16</xdr:col>
      <xdr:colOff>34674</xdr:colOff>
      <xdr:row>8</xdr:row>
      <xdr:rowOff>575140</xdr:rowOff>
    </xdr:to>
    <xdr:sp>
      <xdr:nvSpPr>
        <xdr:cNvPr id="73" name="Rectangle 4"/>
        <xdr:cNvSpPr/>
      </xdr:nvSpPr>
      <xdr:spPr>
        <a:xfrm>
          <a:off x="19177080" y="6191248"/>
          <a:ext cx="56799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695318</xdr:colOff>
      <xdr:row>9</xdr:row>
      <xdr:rowOff>129029</xdr:rowOff>
    </xdr:from>
    <xdr:to>
      <xdr:col>16</xdr:col>
      <xdr:colOff>31411</xdr:colOff>
      <xdr:row>9</xdr:row>
      <xdr:rowOff>580346</xdr:rowOff>
    </xdr:to>
    <xdr:sp>
      <xdr:nvSpPr>
        <xdr:cNvPr id="74" name="Rectangle 4"/>
        <xdr:cNvSpPr/>
      </xdr:nvSpPr>
      <xdr:spPr>
        <a:xfrm>
          <a:off x="19173818" y="6891779"/>
          <a:ext cx="567994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693176</xdr:colOff>
      <xdr:row>10</xdr:row>
      <xdr:rowOff>116775</xdr:rowOff>
    </xdr:from>
    <xdr:to>
      <xdr:col>16</xdr:col>
      <xdr:colOff>31303</xdr:colOff>
      <xdr:row>10</xdr:row>
      <xdr:rowOff>568093</xdr:rowOff>
    </xdr:to>
    <xdr:sp>
      <xdr:nvSpPr>
        <xdr:cNvPr id="75" name="Rectangle 4"/>
        <xdr:cNvSpPr/>
      </xdr:nvSpPr>
      <xdr:spPr>
        <a:xfrm>
          <a:off x="19171676" y="7574850"/>
          <a:ext cx="570028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690205</xdr:colOff>
      <xdr:row>11</xdr:row>
      <xdr:rowOff>134991</xdr:rowOff>
    </xdr:from>
    <xdr:to>
      <xdr:col>16</xdr:col>
      <xdr:colOff>26299</xdr:colOff>
      <xdr:row>11</xdr:row>
      <xdr:rowOff>585740</xdr:rowOff>
    </xdr:to>
    <xdr:sp>
      <xdr:nvSpPr>
        <xdr:cNvPr id="76" name="Rectangle 4"/>
        <xdr:cNvSpPr/>
      </xdr:nvSpPr>
      <xdr:spPr>
        <a:xfrm>
          <a:off x="19168705" y="8288391"/>
          <a:ext cx="567995" cy="450750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189089</xdr:colOff>
      <xdr:row>4</xdr:row>
      <xdr:rowOff>67733</xdr:rowOff>
    </xdr:from>
    <xdr:to>
      <xdr:col>15</xdr:col>
      <xdr:colOff>866421</xdr:colOff>
      <xdr:row>4</xdr:row>
      <xdr:rowOff>81843</xdr:rowOff>
    </xdr:to>
    <xdr:sp>
      <xdr:nvSpPr>
        <xdr:cNvPr id="77" name="Conector recto 16"/>
        <xdr:cNvSpPr/>
      </xdr:nvSpPr>
      <xdr:spPr>
        <a:xfrm flipV="1">
          <a:off x="10044289" y="3353858"/>
          <a:ext cx="9300633" cy="14111"/>
        </a:xfrm>
        <a:prstGeom prst="line">
          <a:avLst/>
        </a:prstGeom>
        <a:noFill/>
        <a:ln w="19050" cap="flat">
          <a:solidFill>
            <a:srgbClr val="00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524886</xdr:colOff>
      <xdr:row>18</xdr:row>
      <xdr:rowOff>613279</xdr:rowOff>
    </xdr:from>
    <xdr:to>
      <xdr:col>0</xdr:col>
      <xdr:colOff>1108676</xdr:colOff>
      <xdr:row>19</xdr:row>
      <xdr:rowOff>502936</xdr:rowOff>
    </xdr:to>
    <xdr:pic>
      <xdr:nvPicPr>
        <xdr:cNvPr id="78" name="Imagen 17" descr="Imagen 17"/>
        <xdr:cNvPicPr>
          <a:picLocks noChangeAspect="1"/>
        </xdr:cNvPicPr>
      </xdr:nvPicPr>
      <xdr:blipFill>
        <a:blip r:embed="rId5">
          <a:extLst/>
        </a:blip>
        <a:srcRect l="0" t="81929" r="0" b="0"/>
        <a:stretch>
          <a:fillRect/>
        </a:stretch>
      </xdr:blipFill>
      <xdr:spPr>
        <a:xfrm>
          <a:off x="524885" y="13633954"/>
          <a:ext cx="583792" cy="58498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494816</xdr:colOff>
      <xdr:row>15</xdr:row>
      <xdr:rowOff>1812</xdr:rowOff>
    </xdr:from>
    <xdr:to>
      <xdr:col>0</xdr:col>
      <xdr:colOff>1097569</xdr:colOff>
      <xdr:row>15</xdr:row>
      <xdr:rowOff>542325</xdr:rowOff>
    </xdr:to>
    <xdr:pic>
      <xdr:nvPicPr>
        <xdr:cNvPr id="79" name="Imagen 18" descr="Imagen 18"/>
        <xdr:cNvPicPr>
          <a:picLocks noChangeAspect="1"/>
        </xdr:cNvPicPr>
      </xdr:nvPicPr>
      <xdr:blipFill>
        <a:blip r:embed="rId5">
          <a:extLst/>
        </a:blip>
        <a:srcRect l="0" t="0" r="0" b="83184"/>
        <a:stretch>
          <a:fillRect/>
        </a:stretch>
      </xdr:blipFill>
      <xdr:spPr>
        <a:xfrm>
          <a:off x="494816" y="10936512"/>
          <a:ext cx="602753" cy="54051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503165</xdr:colOff>
      <xdr:row>15</xdr:row>
      <xdr:rowOff>630738</xdr:rowOff>
    </xdr:from>
    <xdr:to>
      <xdr:col>0</xdr:col>
      <xdr:colOff>1085261</xdr:colOff>
      <xdr:row>16</xdr:row>
      <xdr:rowOff>493196</xdr:rowOff>
    </xdr:to>
    <xdr:pic>
      <xdr:nvPicPr>
        <xdr:cNvPr id="80" name="Imagen 19" descr="Imagen 19"/>
        <xdr:cNvPicPr>
          <a:picLocks noChangeAspect="1"/>
        </xdr:cNvPicPr>
      </xdr:nvPicPr>
      <xdr:blipFill>
        <a:blip r:embed="rId5">
          <a:extLst/>
        </a:blip>
        <a:srcRect l="0" t="22860" r="0" b="59903"/>
        <a:stretch>
          <a:fillRect/>
        </a:stretch>
      </xdr:blipFill>
      <xdr:spPr>
        <a:xfrm>
          <a:off x="503165" y="11565438"/>
          <a:ext cx="582096" cy="5577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506027</xdr:colOff>
      <xdr:row>16</xdr:row>
      <xdr:rowOff>617714</xdr:rowOff>
    </xdr:from>
    <xdr:to>
      <xdr:col>0</xdr:col>
      <xdr:colOff>1097508</xdr:colOff>
      <xdr:row>17</xdr:row>
      <xdr:rowOff>463842</xdr:rowOff>
    </xdr:to>
    <xdr:pic>
      <xdr:nvPicPr>
        <xdr:cNvPr id="81" name="Imagen 20" descr="Imagen 20"/>
        <xdr:cNvPicPr>
          <a:picLocks noChangeAspect="1"/>
        </xdr:cNvPicPr>
      </xdr:nvPicPr>
      <xdr:blipFill>
        <a:blip r:embed="rId5">
          <a:extLst/>
        </a:blip>
        <a:srcRect l="0" t="44349" r="0" b="39086"/>
        <a:stretch>
          <a:fillRect/>
        </a:stretch>
      </xdr:blipFill>
      <xdr:spPr>
        <a:xfrm>
          <a:off x="506027" y="12247739"/>
          <a:ext cx="591482" cy="5414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524011</xdr:colOff>
      <xdr:row>17</xdr:row>
      <xdr:rowOff>636461</xdr:rowOff>
    </xdr:from>
    <xdr:to>
      <xdr:col>0</xdr:col>
      <xdr:colOff>1107801</xdr:colOff>
      <xdr:row>18</xdr:row>
      <xdr:rowOff>477027</xdr:rowOff>
    </xdr:to>
    <xdr:pic>
      <xdr:nvPicPr>
        <xdr:cNvPr id="82" name="Imagen 21" descr="Imagen 21"/>
        <xdr:cNvPicPr>
          <a:picLocks noChangeAspect="1"/>
        </xdr:cNvPicPr>
      </xdr:nvPicPr>
      <xdr:blipFill>
        <a:blip r:embed="rId5">
          <a:extLst/>
        </a:blip>
        <a:srcRect l="0" t="63599" r="0" b="19835"/>
        <a:stretch>
          <a:fillRect/>
        </a:stretch>
      </xdr:blipFill>
      <xdr:spPr>
        <a:xfrm>
          <a:off x="524010" y="12961811"/>
          <a:ext cx="583791" cy="5358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682181</xdr:colOff>
      <xdr:row>16</xdr:row>
      <xdr:rowOff>212070</xdr:rowOff>
    </xdr:from>
    <xdr:to>
      <xdr:col>6</xdr:col>
      <xdr:colOff>15354</xdr:colOff>
      <xdr:row>16</xdr:row>
      <xdr:rowOff>663388</xdr:rowOff>
    </xdr:to>
    <xdr:sp>
      <xdr:nvSpPr>
        <xdr:cNvPr id="83" name="Rectangle 4"/>
        <xdr:cNvSpPr/>
      </xdr:nvSpPr>
      <xdr:spPr>
        <a:xfrm>
          <a:off x="6841681" y="11842095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690312</xdr:colOff>
      <xdr:row>17</xdr:row>
      <xdr:rowOff>201107</xdr:rowOff>
    </xdr:from>
    <xdr:to>
      <xdr:col>6</xdr:col>
      <xdr:colOff>23485</xdr:colOff>
      <xdr:row>17</xdr:row>
      <xdr:rowOff>652425</xdr:rowOff>
    </xdr:to>
    <xdr:sp>
      <xdr:nvSpPr>
        <xdr:cNvPr id="84" name="Rectangle 4"/>
        <xdr:cNvSpPr/>
      </xdr:nvSpPr>
      <xdr:spPr>
        <a:xfrm>
          <a:off x="6849812" y="12526457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688155</xdr:colOff>
      <xdr:row>15</xdr:row>
      <xdr:rowOff>218750</xdr:rowOff>
    </xdr:from>
    <xdr:to>
      <xdr:col>6</xdr:col>
      <xdr:colOff>18179</xdr:colOff>
      <xdr:row>15</xdr:row>
      <xdr:rowOff>670067</xdr:rowOff>
    </xdr:to>
    <xdr:sp>
      <xdr:nvSpPr>
        <xdr:cNvPr id="85" name="Rectangle 4"/>
        <xdr:cNvSpPr/>
      </xdr:nvSpPr>
      <xdr:spPr>
        <a:xfrm>
          <a:off x="6847655" y="11153450"/>
          <a:ext cx="56192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603959</xdr:colOff>
      <xdr:row>17</xdr:row>
      <xdr:rowOff>127300</xdr:rowOff>
    </xdr:from>
    <xdr:to>
      <xdr:col>7</xdr:col>
      <xdr:colOff>1103013</xdr:colOff>
      <xdr:row>18</xdr:row>
      <xdr:rowOff>16233</xdr:rowOff>
    </xdr:to>
    <xdr:pic>
      <xdr:nvPicPr>
        <xdr:cNvPr id="86" name="Imagen 25" descr="Imagen 25"/>
        <xdr:cNvPicPr>
          <a:picLocks noChangeAspect="1"/>
        </xdr:cNvPicPr>
      </xdr:nvPicPr>
      <xdr:blipFill>
        <a:blip r:embed="rId6">
          <a:extLst/>
        </a:blip>
        <a:srcRect l="0" t="428" r="0" b="83905"/>
        <a:stretch>
          <a:fillRect/>
        </a:stretch>
      </xdr:blipFill>
      <xdr:spPr>
        <a:xfrm>
          <a:off x="9227259" y="12452650"/>
          <a:ext cx="499055" cy="5842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637708</xdr:colOff>
      <xdr:row>18</xdr:row>
      <xdr:rowOff>97342</xdr:rowOff>
    </xdr:from>
    <xdr:to>
      <xdr:col>11</xdr:col>
      <xdr:colOff>4232</xdr:colOff>
      <xdr:row>18</xdr:row>
      <xdr:rowOff>607102</xdr:rowOff>
    </xdr:to>
    <xdr:pic>
      <xdr:nvPicPr>
        <xdr:cNvPr id="87" name="Imagen 26" descr="Imagen 26"/>
        <xdr:cNvPicPr>
          <a:picLocks noChangeAspect="1"/>
        </xdr:cNvPicPr>
      </xdr:nvPicPr>
      <xdr:blipFill>
        <a:blip r:embed="rId7">
          <a:extLst/>
        </a:blip>
        <a:srcRect l="0" t="14319" r="108" b="71356"/>
        <a:stretch>
          <a:fillRect/>
        </a:stretch>
      </xdr:blipFill>
      <xdr:spPr>
        <a:xfrm>
          <a:off x="12956708" y="13118017"/>
          <a:ext cx="598425" cy="509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672327</xdr:colOff>
      <xdr:row>19</xdr:row>
      <xdr:rowOff>133754</xdr:rowOff>
    </xdr:from>
    <xdr:to>
      <xdr:col>11</xdr:col>
      <xdr:colOff>4232</xdr:colOff>
      <xdr:row>19</xdr:row>
      <xdr:rowOff>582724</xdr:rowOff>
    </xdr:to>
    <xdr:pic>
      <xdr:nvPicPr>
        <xdr:cNvPr id="88" name="Imagen 27" descr="Imagen 27"/>
        <xdr:cNvPicPr>
          <a:picLocks noChangeAspect="1"/>
        </xdr:cNvPicPr>
      </xdr:nvPicPr>
      <xdr:blipFill>
        <a:blip r:embed="rId7">
          <a:extLst/>
        </a:blip>
        <a:srcRect l="0" t="30153" r="0" b="56434"/>
        <a:stretch>
          <a:fillRect/>
        </a:stretch>
      </xdr:blipFill>
      <xdr:spPr>
        <a:xfrm>
          <a:off x="12991327" y="13849754"/>
          <a:ext cx="563806" cy="4489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709972</xdr:colOff>
      <xdr:row>23</xdr:row>
      <xdr:rowOff>161703</xdr:rowOff>
    </xdr:from>
    <xdr:to>
      <xdr:col>11</xdr:col>
      <xdr:colOff>2539</xdr:colOff>
      <xdr:row>23</xdr:row>
      <xdr:rowOff>579868</xdr:rowOff>
    </xdr:to>
    <xdr:pic>
      <xdr:nvPicPr>
        <xdr:cNvPr id="89" name="Imagen 28" descr="Imagen 28"/>
        <xdr:cNvPicPr>
          <a:picLocks noChangeAspect="1"/>
        </xdr:cNvPicPr>
      </xdr:nvPicPr>
      <xdr:blipFill>
        <a:blip r:embed="rId7">
          <a:extLst/>
        </a:blip>
        <a:srcRect l="0" t="86677" r="0" b="0"/>
        <a:stretch>
          <a:fillRect/>
        </a:stretch>
      </xdr:blipFill>
      <xdr:spPr>
        <a:xfrm>
          <a:off x="13028972" y="16659003"/>
          <a:ext cx="524468" cy="4181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660531</xdr:colOff>
      <xdr:row>20</xdr:row>
      <xdr:rowOff>131232</xdr:rowOff>
    </xdr:from>
    <xdr:to>
      <xdr:col>10</xdr:col>
      <xdr:colOff>1134532</xdr:colOff>
      <xdr:row>20</xdr:row>
      <xdr:rowOff>576794</xdr:rowOff>
    </xdr:to>
    <xdr:pic>
      <xdr:nvPicPr>
        <xdr:cNvPr id="90" name="Imagen 29" descr="Imagen 29"/>
        <xdr:cNvPicPr>
          <a:picLocks noChangeAspect="1"/>
        </xdr:cNvPicPr>
      </xdr:nvPicPr>
      <xdr:blipFill>
        <a:blip r:embed="rId7">
          <a:extLst/>
        </a:blip>
        <a:srcRect l="0" t="43629" r="0" b="42959"/>
        <a:stretch>
          <a:fillRect/>
        </a:stretch>
      </xdr:blipFill>
      <xdr:spPr>
        <a:xfrm>
          <a:off x="12979531" y="14542557"/>
          <a:ext cx="474002" cy="4455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668997</xdr:colOff>
      <xdr:row>21</xdr:row>
      <xdr:rowOff>97607</xdr:rowOff>
    </xdr:from>
    <xdr:to>
      <xdr:col>10</xdr:col>
      <xdr:colOff>1134533</xdr:colOff>
      <xdr:row>21</xdr:row>
      <xdr:rowOff>562115</xdr:rowOff>
    </xdr:to>
    <xdr:pic>
      <xdr:nvPicPr>
        <xdr:cNvPr id="91" name="Imagen 30" descr="Imagen 30"/>
        <xdr:cNvPicPr>
          <a:picLocks noChangeAspect="1"/>
        </xdr:cNvPicPr>
      </xdr:nvPicPr>
      <xdr:blipFill>
        <a:blip r:embed="rId7">
          <a:extLst/>
        </a:blip>
        <a:srcRect l="0" t="57722" r="0" b="29092"/>
        <a:stretch>
          <a:fillRect/>
        </a:stretch>
      </xdr:blipFill>
      <xdr:spPr>
        <a:xfrm>
          <a:off x="12987997" y="15204257"/>
          <a:ext cx="465537" cy="46450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705042</xdr:colOff>
      <xdr:row>22</xdr:row>
      <xdr:rowOff>146977</xdr:rowOff>
    </xdr:from>
    <xdr:to>
      <xdr:col>10</xdr:col>
      <xdr:colOff>1139612</xdr:colOff>
      <xdr:row>22</xdr:row>
      <xdr:rowOff>565363</xdr:rowOff>
    </xdr:to>
    <xdr:pic>
      <xdr:nvPicPr>
        <xdr:cNvPr id="92" name="Imagen 31" descr="Imagen 31"/>
        <xdr:cNvPicPr>
          <a:picLocks noChangeAspect="1"/>
        </xdr:cNvPicPr>
      </xdr:nvPicPr>
      <xdr:blipFill>
        <a:blip r:embed="rId7">
          <a:extLst/>
        </a:blip>
        <a:srcRect l="0" t="71218" r="0" b="15450"/>
        <a:stretch>
          <a:fillRect/>
        </a:stretch>
      </xdr:blipFill>
      <xdr:spPr>
        <a:xfrm>
          <a:off x="13024042" y="15948952"/>
          <a:ext cx="434571" cy="4183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688706</xdr:colOff>
      <xdr:row>17</xdr:row>
      <xdr:rowOff>98007</xdr:rowOff>
    </xdr:from>
    <xdr:to>
      <xdr:col>13</xdr:col>
      <xdr:colOff>1135784</xdr:colOff>
      <xdr:row>17</xdr:row>
      <xdr:rowOff>570331</xdr:rowOff>
    </xdr:to>
    <xdr:pic>
      <xdr:nvPicPr>
        <xdr:cNvPr id="93" name="Imagen 32" descr="Imagen 32"/>
        <xdr:cNvPicPr>
          <a:picLocks noChangeAspect="1"/>
        </xdr:cNvPicPr>
      </xdr:nvPicPr>
      <xdr:blipFill>
        <a:blip r:embed="rId8">
          <a:extLst/>
        </a:blip>
        <a:srcRect l="3328" t="0" r="0" b="86531"/>
        <a:stretch>
          <a:fillRect/>
        </a:stretch>
      </xdr:blipFill>
      <xdr:spPr>
        <a:xfrm>
          <a:off x="16703406" y="12423357"/>
          <a:ext cx="447079" cy="4723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694650</xdr:colOff>
      <xdr:row>18</xdr:row>
      <xdr:rowOff>10461</xdr:rowOff>
    </xdr:from>
    <xdr:to>
      <xdr:col>14</xdr:col>
      <xdr:colOff>11538</xdr:colOff>
      <xdr:row>18</xdr:row>
      <xdr:rowOff>568422</xdr:rowOff>
    </xdr:to>
    <xdr:pic>
      <xdr:nvPicPr>
        <xdr:cNvPr id="94" name="Imagen 33" descr="Imagen 33"/>
        <xdr:cNvPicPr>
          <a:picLocks noChangeAspect="1"/>
        </xdr:cNvPicPr>
      </xdr:nvPicPr>
      <xdr:blipFill>
        <a:blip r:embed="rId8">
          <a:extLst/>
        </a:blip>
        <a:srcRect l="0" t="16879" r="1232" b="66990"/>
        <a:stretch>
          <a:fillRect/>
        </a:stretch>
      </xdr:blipFill>
      <xdr:spPr>
        <a:xfrm>
          <a:off x="16709350" y="13031136"/>
          <a:ext cx="548789" cy="5579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14</xdr:col>
      <xdr:colOff>158750</xdr:colOff>
      <xdr:row>25</xdr:row>
      <xdr:rowOff>663410</xdr:rowOff>
    </xdr:from>
    <xdr:to>
      <xdr:col>16</xdr:col>
      <xdr:colOff>24694</xdr:colOff>
      <xdr:row>27</xdr:row>
      <xdr:rowOff>306802</xdr:rowOff>
    </xdr:to>
    <xdr:pic>
      <xdr:nvPicPr>
        <xdr:cNvPr id="95" name="Imagen 34" descr="Imagen 34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7405350" y="18551360"/>
          <a:ext cx="2329745" cy="10340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622451</xdr:colOff>
      <xdr:row>19</xdr:row>
      <xdr:rowOff>32379</xdr:rowOff>
    </xdr:from>
    <xdr:to>
      <xdr:col>8</xdr:col>
      <xdr:colOff>244</xdr:colOff>
      <xdr:row>19</xdr:row>
      <xdr:rowOff>624101</xdr:rowOff>
    </xdr:to>
    <xdr:pic>
      <xdr:nvPicPr>
        <xdr:cNvPr id="96" name="Imagen 36" descr="Imagen 36"/>
        <xdr:cNvPicPr>
          <a:picLocks noChangeAspect="1"/>
        </xdr:cNvPicPr>
      </xdr:nvPicPr>
      <xdr:blipFill>
        <a:blip r:embed="rId6">
          <a:extLst/>
        </a:blip>
        <a:srcRect l="1" t="50910" r="570" b="33484"/>
        <a:stretch>
          <a:fillRect/>
        </a:stretch>
      </xdr:blipFill>
      <xdr:spPr>
        <a:xfrm>
          <a:off x="9245751" y="13748379"/>
          <a:ext cx="609694" cy="59172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648609</xdr:colOff>
      <xdr:row>9</xdr:row>
      <xdr:rowOff>122581</xdr:rowOff>
    </xdr:from>
    <xdr:to>
      <xdr:col>5</xdr:col>
      <xdr:colOff>1123714</xdr:colOff>
      <xdr:row>9</xdr:row>
      <xdr:rowOff>575063</xdr:rowOff>
    </xdr:to>
    <xdr:sp>
      <xdr:nvSpPr>
        <xdr:cNvPr id="97" name="Rectangle 4"/>
        <xdr:cNvSpPr/>
      </xdr:nvSpPr>
      <xdr:spPr>
        <a:xfrm>
          <a:off x="6808109" y="6885331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659237</xdr:colOff>
      <xdr:row>10</xdr:row>
      <xdr:rowOff>145419</xdr:rowOff>
    </xdr:from>
    <xdr:to>
      <xdr:col>5</xdr:col>
      <xdr:colOff>1134342</xdr:colOff>
      <xdr:row>10</xdr:row>
      <xdr:rowOff>597901</xdr:rowOff>
    </xdr:to>
    <xdr:sp>
      <xdr:nvSpPr>
        <xdr:cNvPr id="98" name="Rectangle 4"/>
        <xdr:cNvSpPr/>
      </xdr:nvSpPr>
      <xdr:spPr>
        <a:xfrm>
          <a:off x="6818737" y="7603494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682294</xdr:colOff>
      <xdr:row>18</xdr:row>
      <xdr:rowOff>133751</xdr:rowOff>
    </xdr:from>
    <xdr:to>
      <xdr:col>6</xdr:col>
      <xdr:colOff>15467</xdr:colOff>
      <xdr:row>18</xdr:row>
      <xdr:rowOff>585811</xdr:rowOff>
    </xdr:to>
    <xdr:sp>
      <xdr:nvSpPr>
        <xdr:cNvPr id="99" name="Rectangle 4"/>
        <xdr:cNvSpPr/>
      </xdr:nvSpPr>
      <xdr:spPr>
        <a:xfrm>
          <a:off x="6841794" y="13154426"/>
          <a:ext cx="565074" cy="452061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683025</xdr:colOff>
      <xdr:row>19</xdr:row>
      <xdr:rowOff>108264</xdr:rowOff>
    </xdr:from>
    <xdr:to>
      <xdr:col>6</xdr:col>
      <xdr:colOff>16198</xdr:colOff>
      <xdr:row>19</xdr:row>
      <xdr:rowOff>560149</xdr:rowOff>
    </xdr:to>
    <xdr:sp>
      <xdr:nvSpPr>
        <xdr:cNvPr id="100" name="Rectangle 4"/>
        <xdr:cNvSpPr/>
      </xdr:nvSpPr>
      <xdr:spPr>
        <a:xfrm>
          <a:off x="6842525" y="13824264"/>
          <a:ext cx="565074" cy="451886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624155</xdr:colOff>
      <xdr:row>19</xdr:row>
      <xdr:rowOff>578026</xdr:rowOff>
    </xdr:from>
    <xdr:to>
      <xdr:col>7</xdr:col>
      <xdr:colOff>1225644</xdr:colOff>
      <xdr:row>20</xdr:row>
      <xdr:rowOff>613134</xdr:rowOff>
    </xdr:to>
    <xdr:pic>
      <xdr:nvPicPr>
        <xdr:cNvPr id="101" name="Imagen 41" descr="Imagen 41"/>
        <xdr:cNvPicPr>
          <a:picLocks noChangeAspect="1"/>
        </xdr:cNvPicPr>
      </xdr:nvPicPr>
      <xdr:blipFill>
        <a:blip r:embed="rId6">
          <a:extLst/>
        </a:blip>
        <a:srcRect l="0" t="64840" r="0" b="16097"/>
        <a:stretch>
          <a:fillRect/>
        </a:stretch>
      </xdr:blipFill>
      <xdr:spPr>
        <a:xfrm>
          <a:off x="9247455" y="14294026"/>
          <a:ext cx="601490" cy="7304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639992</xdr:colOff>
      <xdr:row>21</xdr:row>
      <xdr:rowOff>105076</xdr:rowOff>
    </xdr:from>
    <xdr:to>
      <xdr:col>7</xdr:col>
      <xdr:colOff>1220089</xdr:colOff>
      <xdr:row>21</xdr:row>
      <xdr:rowOff>588432</xdr:rowOff>
    </xdr:to>
    <xdr:pic>
      <xdr:nvPicPr>
        <xdr:cNvPr id="102" name="Imagen 42" descr="Imagen 42"/>
        <xdr:cNvPicPr>
          <a:picLocks noChangeAspect="1"/>
        </xdr:cNvPicPr>
      </xdr:nvPicPr>
      <xdr:blipFill>
        <a:blip r:embed="rId6">
          <a:extLst/>
        </a:blip>
        <a:srcRect l="0" t="87080" r="0" b="0"/>
        <a:stretch>
          <a:fillRect/>
        </a:stretch>
      </xdr:blipFill>
      <xdr:spPr>
        <a:xfrm>
          <a:off x="9263292" y="15211726"/>
          <a:ext cx="580098" cy="4833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628081</xdr:colOff>
      <xdr:row>18</xdr:row>
      <xdr:rowOff>61374</xdr:rowOff>
    </xdr:from>
    <xdr:to>
      <xdr:col>7</xdr:col>
      <xdr:colOff>1127206</xdr:colOff>
      <xdr:row>18</xdr:row>
      <xdr:rowOff>634054</xdr:rowOff>
    </xdr:to>
    <xdr:pic>
      <xdr:nvPicPr>
        <xdr:cNvPr id="103" name="Imagen 43" descr="Imagen 43"/>
        <xdr:cNvPicPr>
          <a:picLocks noChangeAspect="1"/>
        </xdr:cNvPicPr>
      </xdr:nvPicPr>
      <xdr:blipFill>
        <a:blip r:embed="rId6">
          <a:extLst/>
        </a:blip>
        <a:srcRect l="0" t="16132" r="0" b="68466"/>
        <a:stretch>
          <a:fillRect/>
        </a:stretch>
      </xdr:blipFill>
      <xdr:spPr>
        <a:xfrm>
          <a:off x="9251381" y="13082049"/>
          <a:ext cx="499126" cy="5726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629177</xdr:colOff>
      <xdr:row>17</xdr:row>
      <xdr:rowOff>126699</xdr:rowOff>
    </xdr:from>
    <xdr:to>
      <xdr:col>11</xdr:col>
      <xdr:colOff>6484</xdr:colOff>
      <xdr:row>17</xdr:row>
      <xdr:rowOff>642325</xdr:rowOff>
    </xdr:to>
    <xdr:pic>
      <xdr:nvPicPr>
        <xdr:cNvPr id="104" name="Imagen 44" descr="Imagen 44"/>
        <xdr:cNvPicPr>
          <a:picLocks noChangeAspect="1"/>
        </xdr:cNvPicPr>
      </xdr:nvPicPr>
      <xdr:blipFill>
        <a:blip r:embed="rId7">
          <a:extLst/>
        </a:blip>
        <a:srcRect l="0" t="363" r="0" b="85375"/>
        <a:stretch>
          <a:fillRect/>
        </a:stretch>
      </xdr:blipFill>
      <xdr:spPr>
        <a:xfrm>
          <a:off x="12948177" y="12452049"/>
          <a:ext cx="609208" cy="5156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674855</xdr:colOff>
      <xdr:row>20</xdr:row>
      <xdr:rowOff>90901</xdr:rowOff>
    </xdr:from>
    <xdr:to>
      <xdr:col>13</xdr:col>
      <xdr:colOff>1225894</xdr:colOff>
      <xdr:row>20</xdr:row>
      <xdr:rowOff>589551</xdr:rowOff>
    </xdr:to>
    <xdr:pic>
      <xdr:nvPicPr>
        <xdr:cNvPr id="105" name="Imagen 45" descr="Imagen 45"/>
        <xdr:cNvPicPr>
          <a:picLocks noChangeAspect="1"/>
        </xdr:cNvPicPr>
      </xdr:nvPicPr>
      <xdr:blipFill>
        <a:blip r:embed="rId8">
          <a:extLst/>
        </a:blip>
        <a:srcRect l="1" t="53840" r="0" b="31705"/>
        <a:stretch>
          <a:fillRect/>
        </a:stretch>
      </xdr:blipFill>
      <xdr:spPr>
        <a:xfrm>
          <a:off x="16689555" y="14502226"/>
          <a:ext cx="551040" cy="498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699099</xdr:colOff>
      <xdr:row>19</xdr:row>
      <xdr:rowOff>8654</xdr:rowOff>
    </xdr:from>
    <xdr:to>
      <xdr:col>14</xdr:col>
      <xdr:colOff>23515</xdr:colOff>
      <xdr:row>19</xdr:row>
      <xdr:rowOff>641348</xdr:rowOff>
    </xdr:to>
    <xdr:pic>
      <xdr:nvPicPr>
        <xdr:cNvPr id="106" name="Imagen 46" descr="Imagen 46"/>
        <xdr:cNvPicPr>
          <a:picLocks noChangeAspect="1"/>
        </xdr:cNvPicPr>
      </xdr:nvPicPr>
      <xdr:blipFill>
        <a:blip r:embed="rId8">
          <a:extLst/>
        </a:blip>
        <a:srcRect l="0" t="34868" r="0" b="46838"/>
        <a:stretch>
          <a:fillRect/>
        </a:stretch>
      </xdr:blipFill>
      <xdr:spPr>
        <a:xfrm>
          <a:off x="16713799" y="13724654"/>
          <a:ext cx="556317" cy="6326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683424</xdr:colOff>
      <xdr:row>22</xdr:row>
      <xdr:rowOff>84795</xdr:rowOff>
    </xdr:from>
    <xdr:to>
      <xdr:col>13</xdr:col>
      <xdr:colOff>1220035</xdr:colOff>
      <xdr:row>22</xdr:row>
      <xdr:rowOff>594171</xdr:rowOff>
    </xdr:to>
    <xdr:pic>
      <xdr:nvPicPr>
        <xdr:cNvPr id="107" name="Imagen 47" descr="Imagen 47"/>
        <xdr:cNvPicPr>
          <a:picLocks noChangeAspect="1"/>
        </xdr:cNvPicPr>
      </xdr:nvPicPr>
      <xdr:blipFill>
        <a:blip r:embed="rId8">
          <a:extLst/>
        </a:blip>
        <a:srcRect l="0" t="85234" r="0" b="0"/>
        <a:stretch>
          <a:fillRect/>
        </a:stretch>
      </xdr:blipFill>
      <xdr:spPr>
        <a:xfrm>
          <a:off x="16698124" y="15886770"/>
          <a:ext cx="536612" cy="5093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678696</xdr:colOff>
      <xdr:row>21</xdr:row>
      <xdr:rowOff>61099</xdr:rowOff>
    </xdr:from>
    <xdr:to>
      <xdr:col>13</xdr:col>
      <xdr:colOff>1228257</xdr:colOff>
      <xdr:row>21</xdr:row>
      <xdr:rowOff>637664</xdr:rowOff>
    </xdr:to>
    <xdr:pic>
      <xdr:nvPicPr>
        <xdr:cNvPr id="108" name="Imagen 48" descr="Imagen 48"/>
        <xdr:cNvPicPr>
          <a:picLocks noChangeAspect="1"/>
        </xdr:cNvPicPr>
      </xdr:nvPicPr>
      <xdr:blipFill>
        <a:blip r:embed="rId8">
          <a:extLst/>
        </a:blip>
        <a:srcRect l="0" t="67489" r="0" b="15797"/>
        <a:stretch>
          <a:fillRect/>
        </a:stretch>
      </xdr:blipFill>
      <xdr:spPr>
        <a:xfrm>
          <a:off x="16693396" y="15167749"/>
          <a:ext cx="549562" cy="5765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252158</xdr:colOff>
      <xdr:row>0</xdr:row>
      <xdr:rowOff>455813</xdr:rowOff>
    </xdr:from>
    <xdr:to>
      <xdr:col>1</xdr:col>
      <xdr:colOff>798689</xdr:colOff>
      <xdr:row>0</xdr:row>
      <xdr:rowOff>804322</xdr:rowOff>
    </xdr:to>
    <xdr:pic>
      <xdr:nvPicPr>
        <xdr:cNvPr id="110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2158" y="455813"/>
          <a:ext cx="1638731" cy="3485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315126</xdr:colOff>
      <xdr:row>0</xdr:row>
      <xdr:rowOff>20760</xdr:rowOff>
    </xdr:from>
    <xdr:to>
      <xdr:col>6</xdr:col>
      <xdr:colOff>783088</xdr:colOff>
      <xdr:row>0</xdr:row>
      <xdr:rowOff>1234721</xdr:rowOff>
    </xdr:to>
    <xdr:pic>
      <xdr:nvPicPr>
        <xdr:cNvPr id="111" name="Imagen 8" descr="Imagen 8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941226" y="20760"/>
          <a:ext cx="1560163" cy="12139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1016196</xdr:colOff>
      <xdr:row>2</xdr:row>
      <xdr:rowOff>121740</xdr:rowOff>
    </xdr:from>
    <xdr:to>
      <xdr:col>4</xdr:col>
      <xdr:colOff>589224</xdr:colOff>
      <xdr:row>8</xdr:row>
      <xdr:rowOff>235755</xdr:rowOff>
    </xdr:to>
    <xdr:pic>
      <xdr:nvPicPr>
        <xdr:cNvPr id="112" name="Imagen 9" descr="Imagen 9"/>
        <xdr:cNvPicPr>
          <a:picLocks noChangeAspect="1"/>
        </xdr:cNvPicPr>
      </xdr:nvPicPr>
      <xdr:blipFill>
        <a:blip r:embed="rId3">
          <a:extLst/>
        </a:blip>
        <a:srcRect l="0" t="13305" r="0" b="14345"/>
        <a:stretch>
          <a:fillRect/>
        </a:stretch>
      </xdr:blipFill>
      <xdr:spPr>
        <a:xfrm flipH="1" rot="16200000">
          <a:off x="2992015" y="3327521"/>
          <a:ext cx="3317591" cy="71602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46321</xdr:colOff>
      <xdr:row>14</xdr:row>
      <xdr:rowOff>406400</xdr:rowOff>
    </xdr:from>
    <xdr:to>
      <xdr:col>1</xdr:col>
      <xdr:colOff>931335</xdr:colOff>
      <xdr:row>16</xdr:row>
      <xdr:rowOff>23119</xdr:rowOff>
    </xdr:to>
    <xdr:pic>
      <xdr:nvPicPr>
        <xdr:cNvPr id="113" name="Imagen 10" descr="Imagen 10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138521" y="9016365"/>
          <a:ext cx="885015" cy="9051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91016</xdr:colOff>
      <xdr:row>19</xdr:row>
      <xdr:rowOff>232836</xdr:rowOff>
    </xdr:from>
    <xdr:to>
      <xdr:col>11</xdr:col>
      <xdr:colOff>1090089</xdr:colOff>
      <xdr:row>21</xdr:row>
      <xdr:rowOff>80005</xdr:rowOff>
    </xdr:to>
    <xdr:pic>
      <xdr:nvPicPr>
        <xdr:cNvPr id="114" name="Imagen 11" descr="Imagen 11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2295716" y="11881911"/>
          <a:ext cx="999074" cy="8784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82825</xdr:colOff>
      <xdr:row>0</xdr:row>
      <xdr:rowOff>348043</xdr:rowOff>
    </xdr:from>
    <xdr:to>
      <xdr:col>1</xdr:col>
      <xdr:colOff>21078</xdr:colOff>
      <xdr:row>0</xdr:row>
      <xdr:rowOff>596900</xdr:rowOff>
    </xdr:to>
    <xdr:pic>
      <xdr:nvPicPr>
        <xdr:cNvPr id="116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120924</xdr:colOff>
      <xdr:row>0</xdr:row>
      <xdr:rowOff>348043</xdr:rowOff>
    </xdr:from>
    <xdr:to>
      <xdr:col>1</xdr:col>
      <xdr:colOff>59178</xdr:colOff>
      <xdr:row>0</xdr:row>
      <xdr:rowOff>596900</xdr:rowOff>
    </xdr:to>
    <xdr:pic>
      <xdr:nvPicPr>
        <xdr:cNvPr id="117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20924" y="348043"/>
          <a:ext cx="1170155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803678</xdr:colOff>
      <xdr:row>0</xdr:row>
      <xdr:rowOff>187574</xdr:rowOff>
    </xdr:from>
    <xdr:to>
      <xdr:col>7</xdr:col>
      <xdr:colOff>222987</xdr:colOff>
      <xdr:row>0</xdr:row>
      <xdr:rowOff>848308</xdr:rowOff>
    </xdr:to>
    <xdr:pic>
      <xdr:nvPicPr>
        <xdr:cNvPr id="118" name="Picture 104" descr="Picture 104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8195078" y="187574"/>
          <a:ext cx="651210" cy="6607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459924</xdr:colOff>
      <xdr:row>7</xdr:row>
      <xdr:rowOff>674413</xdr:rowOff>
    </xdr:from>
    <xdr:to>
      <xdr:col>0</xdr:col>
      <xdr:colOff>1108751</xdr:colOff>
      <xdr:row>8</xdr:row>
      <xdr:rowOff>628674</xdr:rowOff>
    </xdr:to>
    <xdr:pic>
      <xdr:nvPicPr>
        <xdr:cNvPr id="119" name="Imagen 4" descr="Imagen 4"/>
        <xdr:cNvPicPr>
          <a:picLocks noChangeAspect="1"/>
        </xdr:cNvPicPr>
      </xdr:nvPicPr>
      <xdr:blipFill>
        <a:blip r:embed="rId3">
          <a:extLst/>
        </a:blip>
        <a:srcRect l="0" t="0" r="4356" b="75451"/>
        <a:stretch>
          <a:fillRect/>
        </a:stretch>
      </xdr:blipFill>
      <xdr:spPr>
        <a:xfrm>
          <a:off x="459924" y="6046513"/>
          <a:ext cx="648828" cy="6495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487660</xdr:colOff>
      <xdr:row>10</xdr:row>
      <xdr:rowOff>19921</xdr:rowOff>
    </xdr:from>
    <xdr:to>
      <xdr:col>0</xdr:col>
      <xdr:colOff>1137475</xdr:colOff>
      <xdr:row>10</xdr:row>
      <xdr:rowOff>687931</xdr:rowOff>
    </xdr:to>
    <xdr:pic>
      <xdr:nvPicPr>
        <xdr:cNvPr id="120" name="Imagen 5" descr="Imagen 5"/>
        <xdr:cNvPicPr>
          <a:picLocks noChangeAspect="1"/>
        </xdr:cNvPicPr>
      </xdr:nvPicPr>
      <xdr:blipFill>
        <a:blip r:embed="rId3">
          <a:extLst/>
        </a:blip>
        <a:srcRect l="0" t="74007" r="0" b="0"/>
        <a:stretch>
          <a:fillRect/>
        </a:stretch>
      </xdr:blipFill>
      <xdr:spPr>
        <a:xfrm>
          <a:off x="487660" y="7477996"/>
          <a:ext cx="649816" cy="6680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451782</xdr:colOff>
      <xdr:row>8</xdr:row>
      <xdr:rowOff>683346</xdr:rowOff>
    </xdr:from>
    <xdr:to>
      <xdr:col>1</xdr:col>
      <xdr:colOff>16720</xdr:colOff>
      <xdr:row>9</xdr:row>
      <xdr:rowOff>673776</xdr:rowOff>
    </xdr:to>
    <xdr:pic>
      <xdr:nvPicPr>
        <xdr:cNvPr id="121" name="Imagen 6" descr="Imagen 6"/>
        <xdr:cNvPicPr>
          <a:picLocks noChangeAspect="1"/>
        </xdr:cNvPicPr>
      </xdr:nvPicPr>
      <xdr:blipFill>
        <a:blip r:embed="rId3">
          <a:extLst/>
        </a:blip>
        <a:srcRect l="0" t="24549" r="0" b="50180"/>
        <a:stretch>
          <a:fillRect/>
        </a:stretch>
      </xdr:blipFill>
      <xdr:spPr>
        <a:xfrm>
          <a:off x="451782" y="6750771"/>
          <a:ext cx="796839" cy="6857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501494</xdr:colOff>
      <xdr:row>10</xdr:row>
      <xdr:rowOff>654535</xdr:rowOff>
    </xdr:from>
    <xdr:to>
      <xdr:col>7</xdr:col>
      <xdr:colOff>1088349</xdr:colOff>
      <xdr:row>11</xdr:row>
      <xdr:rowOff>607970</xdr:rowOff>
    </xdr:to>
    <xdr:pic>
      <xdr:nvPicPr>
        <xdr:cNvPr id="122" name="Imagen 7" descr="Imagen 7"/>
        <xdr:cNvPicPr>
          <a:picLocks noChangeAspect="1"/>
        </xdr:cNvPicPr>
      </xdr:nvPicPr>
      <xdr:blipFill>
        <a:blip r:embed="rId4">
          <a:extLst/>
        </a:blip>
        <a:srcRect l="12925" t="75693" r="0" b="0"/>
        <a:stretch>
          <a:fillRect/>
        </a:stretch>
      </xdr:blipFill>
      <xdr:spPr>
        <a:xfrm>
          <a:off x="9124794" y="8112610"/>
          <a:ext cx="586856" cy="648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493134</xdr:colOff>
      <xdr:row>8</xdr:row>
      <xdr:rowOff>32079</xdr:rowOff>
    </xdr:from>
    <xdr:to>
      <xdr:col>7</xdr:col>
      <xdr:colOff>1035050</xdr:colOff>
      <xdr:row>8</xdr:row>
      <xdr:rowOff>607618</xdr:rowOff>
    </xdr:to>
    <xdr:pic>
      <xdr:nvPicPr>
        <xdr:cNvPr id="123" name="Imagen 8" descr="Imagen 8"/>
        <xdr:cNvPicPr>
          <a:picLocks noChangeAspect="1"/>
        </xdr:cNvPicPr>
      </xdr:nvPicPr>
      <xdr:blipFill>
        <a:blip r:embed="rId4">
          <a:extLst/>
        </a:blip>
        <a:srcRect l="11564" t="0" r="0" b="75480"/>
        <a:stretch>
          <a:fillRect/>
        </a:stretch>
      </xdr:blipFill>
      <xdr:spPr>
        <a:xfrm>
          <a:off x="9116434" y="6099504"/>
          <a:ext cx="541916" cy="5755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471368</xdr:colOff>
      <xdr:row>9</xdr:row>
      <xdr:rowOff>5881</xdr:rowOff>
    </xdr:from>
    <xdr:to>
      <xdr:col>7</xdr:col>
      <xdr:colOff>1049867</xdr:colOff>
      <xdr:row>9</xdr:row>
      <xdr:rowOff>553587</xdr:rowOff>
    </xdr:to>
    <xdr:pic>
      <xdr:nvPicPr>
        <xdr:cNvPr id="124" name="Imagen 9" descr="Imagen 9"/>
        <xdr:cNvPicPr>
          <a:picLocks noChangeAspect="1"/>
        </xdr:cNvPicPr>
      </xdr:nvPicPr>
      <xdr:blipFill>
        <a:blip r:embed="rId4">
          <a:extLst/>
        </a:blip>
        <a:srcRect l="8163" t="27506" r="0" b="49466"/>
        <a:stretch>
          <a:fillRect/>
        </a:stretch>
      </xdr:blipFill>
      <xdr:spPr>
        <a:xfrm>
          <a:off x="9094668" y="6768631"/>
          <a:ext cx="578500" cy="5477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479407</xdr:colOff>
      <xdr:row>9</xdr:row>
      <xdr:rowOff>646610</xdr:rowOff>
    </xdr:from>
    <xdr:to>
      <xdr:col>7</xdr:col>
      <xdr:colOff>1057256</xdr:colOff>
      <xdr:row>10</xdr:row>
      <xdr:rowOff>539615</xdr:rowOff>
    </xdr:to>
    <xdr:pic>
      <xdr:nvPicPr>
        <xdr:cNvPr id="125" name="Imagen 10" descr="Imagen 10"/>
        <xdr:cNvPicPr>
          <a:picLocks noChangeAspect="1"/>
        </xdr:cNvPicPr>
      </xdr:nvPicPr>
      <xdr:blipFill>
        <a:blip r:embed="rId4">
          <a:extLst/>
        </a:blip>
        <a:srcRect l="10204" t="50746" r="0" b="25585"/>
        <a:stretch>
          <a:fillRect/>
        </a:stretch>
      </xdr:blipFill>
      <xdr:spPr>
        <a:xfrm>
          <a:off x="9102707" y="7409360"/>
          <a:ext cx="577850" cy="5883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657505</xdr:colOff>
      <xdr:row>8</xdr:row>
      <xdr:rowOff>112759</xdr:rowOff>
    </xdr:from>
    <xdr:to>
      <xdr:col>5</xdr:col>
      <xdr:colOff>1132611</xdr:colOff>
      <xdr:row>8</xdr:row>
      <xdr:rowOff>565240</xdr:rowOff>
    </xdr:to>
    <xdr:sp>
      <xdr:nvSpPr>
        <xdr:cNvPr id="126" name="Rectangle 4"/>
        <xdr:cNvSpPr/>
      </xdr:nvSpPr>
      <xdr:spPr>
        <a:xfrm>
          <a:off x="6817005" y="6180184"/>
          <a:ext cx="475107" cy="452482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698580</xdr:colOff>
      <xdr:row>8</xdr:row>
      <xdr:rowOff>123823</xdr:rowOff>
    </xdr:from>
    <xdr:to>
      <xdr:col>16</xdr:col>
      <xdr:colOff>34674</xdr:colOff>
      <xdr:row>8</xdr:row>
      <xdr:rowOff>575140</xdr:rowOff>
    </xdr:to>
    <xdr:sp>
      <xdr:nvSpPr>
        <xdr:cNvPr id="127" name="Rectangle 4"/>
        <xdr:cNvSpPr/>
      </xdr:nvSpPr>
      <xdr:spPr>
        <a:xfrm>
          <a:off x="19177080" y="6191248"/>
          <a:ext cx="56799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695318</xdr:colOff>
      <xdr:row>9</xdr:row>
      <xdr:rowOff>129029</xdr:rowOff>
    </xdr:from>
    <xdr:to>
      <xdr:col>16</xdr:col>
      <xdr:colOff>31411</xdr:colOff>
      <xdr:row>9</xdr:row>
      <xdr:rowOff>580346</xdr:rowOff>
    </xdr:to>
    <xdr:sp>
      <xdr:nvSpPr>
        <xdr:cNvPr id="128" name="Rectangle 4"/>
        <xdr:cNvSpPr/>
      </xdr:nvSpPr>
      <xdr:spPr>
        <a:xfrm>
          <a:off x="19173818" y="6891779"/>
          <a:ext cx="567994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693176</xdr:colOff>
      <xdr:row>10</xdr:row>
      <xdr:rowOff>116775</xdr:rowOff>
    </xdr:from>
    <xdr:to>
      <xdr:col>16</xdr:col>
      <xdr:colOff>31303</xdr:colOff>
      <xdr:row>10</xdr:row>
      <xdr:rowOff>568093</xdr:rowOff>
    </xdr:to>
    <xdr:sp>
      <xdr:nvSpPr>
        <xdr:cNvPr id="129" name="Rectangle 4"/>
        <xdr:cNvSpPr/>
      </xdr:nvSpPr>
      <xdr:spPr>
        <a:xfrm>
          <a:off x="19171676" y="7574850"/>
          <a:ext cx="570028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690205</xdr:colOff>
      <xdr:row>11</xdr:row>
      <xdr:rowOff>134991</xdr:rowOff>
    </xdr:from>
    <xdr:to>
      <xdr:col>16</xdr:col>
      <xdr:colOff>26299</xdr:colOff>
      <xdr:row>11</xdr:row>
      <xdr:rowOff>585740</xdr:rowOff>
    </xdr:to>
    <xdr:sp>
      <xdr:nvSpPr>
        <xdr:cNvPr id="130" name="Rectangle 4"/>
        <xdr:cNvSpPr/>
      </xdr:nvSpPr>
      <xdr:spPr>
        <a:xfrm>
          <a:off x="19168705" y="8288391"/>
          <a:ext cx="567995" cy="450750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189089</xdr:colOff>
      <xdr:row>4</xdr:row>
      <xdr:rowOff>67733</xdr:rowOff>
    </xdr:from>
    <xdr:to>
      <xdr:col>15</xdr:col>
      <xdr:colOff>866421</xdr:colOff>
      <xdr:row>4</xdr:row>
      <xdr:rowOff>81843</xdr:rowOff>
    </xdr:to>
    <xdr:sp>
      <xdr:nvSpPr>
        <xdr:cNvPr id="131" name="Conector recto 16"/>
        <xdr:cNvSpPr/>
      </xdr:nvSpPr>
      <xdr:spPr>
        <a:xfrm flipV="1">
          <a:off x="10044289" y="3353858"/>
          <a:ext cx="9300633" cy="14111"/>
        </a:xfrm>
        <a:prstGeom prst="line">
          <a:avLst/>
        </a:prstGeom>
        <a:noFill/>
        <a:ln w="19050" cap="flat">
          <a:solidFill>
            <a:srgbClr val="00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524886</xdr:colOff>
      <xdr:row>18</xdr:row>
      <xdr:rowOff>613279</xdr:rowOff>
    </xdr:from>
    <xdr:to>
      <xdr:col>0</xdr:col>
      <xdr:colOff>1108676</xdr:colOff>
      <xdr:row>19</xdr:row>
      <xdr:rowOff>502936</xdr:rowOff>
    </xdr:to>
    <xdr:pic>
      <xdr:nvPicPr>
        <xdr:cNvPr id="132" name="Imagen 17" descr="Imagen 17"/>
        <xdr:cNvPicPr>
          <a:picLocks noChangeAspect="1"/>
        </xdr:cNvPicPr>
      </xdr:nvPicPr>
      <xdr:blipFill>
        <a:blip r:embed="rId5">
          <a:extLst/>
        </a:blip>
        <a:srcRect l="0" t="81929" r="0" b="0"/>
        <a:stretch>
          <a:fillRect/>
        </a:stretch>
      </xdr:blipFill>
      <xdr:spPr>
        <a:xfrm>
          <a:off x="524885" y="13633954"/>
          <a:ext cx="583792" cy="58498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494816</xdr:colOff>
      <xdr:row>15</xdr:row>
      <xdr:rowOff>1812</xdr:rowOff>
    </xdr:from>
    <xdr:to>
      <xdr:col>0</xdr:col>
      <xdr:colOff>1097569</xdr:colOff>
      <xdr:row>15</xdr:row>
      <xdr:rowOff>542325</xdr:rowOff>
    </xdr:to>
    <xdr:pic>
      <xdr:nvPicPr>
        <xdr:cNvPr id="133" name="Imagen 18" descr="Imagen 18"/>
        <xdr:cNvPicPr>
          <a:picLocks noChangeAspect="1"/>
        </xdr:cNvPicPr>
      </xdr:nvPicPr>
      <xdr:blipFill>
        <a:blip r:embed="rId5">
          <a:extLst/>
        </a:blip>
        <a:srcRect l="0" t="0" r="0" b="83184"/>
        <a:stretch>
          <a:fillRect/>
        </a:stretch>
      </xdr:blipFill>
      <xdr:spPr>
        <a:xfrm>
          <a:off x="494816" y="10936512"/>
          <a:ext cx="602753" cy="54051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503165</xdr:colOff>
      <xdr:row>15</xdr:row>
      <xdr:rowOff>630738</xdr:rowOff>
    </xdr:from>
    <xdr:to>
      <xdr:col>0</xdr:col>
      <xdr:colOff>1085261</xdr:colOff>
      <xdr:row>16</xdr:row>
      <xdr:rowOff>493196</xdr:rowOff>
    </xdr:to>
    <xdr:pic>
      <xdr:nvPicPr>
        <xdr:cNvPr id="134" name="Imagen 19" descr="Imagen 19"/>
        <xdr:cNvPicPr>
          <a:picLocks noChangeAspect="1"/>
        </xdr:cNvPicPr>
      </xdr:nvPicPr>
      <xdr:blipFill>
        <a:blip r:embed="rId5">
          <a:extLst/>
        </a:blip>
        <a:srcRect l="0" t="22860" r="0" b="59903"/>
        <a:stretch>
          <a:fillRect/>
        </a:stretch>
      </xdr:blipFill>
      <xdr:spPr>
        <a:xfrm>
          <a:off x="503165" y="11565438"/>
          <a:ext cx="582096" cy="5577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506027</xdr:colOff>
      <xdr:row>16</xdr:row>
      <xdr:rowOff>617714</xdr:rowOff>
    </xdr:from>
    <xdr:to>
      <xdr:col>0</xdr:col>
      <xdr:colOff>1097508</xdr:colOff>
      <xdr:row>17</xdr:row>
      <xdr:rowOff>463842</xdr:rowOff>
    </xdr:to>
    <xdr:pic>
      <xdr:nvPicPr>
        <xdr:cNvPr id="135" name="Imagen 20" descr="Imagen 20"/>
        <xdr:cNvPicPr>
          <a:picLocks noChangeAspect="1"/>
        </xdr:cNvPicPr>
      </xdr:nvPicPr>
      <xdr:blipFill>
        <a:blip r:embed="rId5">
          <a:extLst/>
        </a:blip>
        <a:srcRect l="0" t="44349" r="0" b="39086"/>
        <a:stretch>
          <a:fillRect/>
        </a:stretch>
      </xdr:blipFill>
      <xdr:spPr>
        <a:xfrm>
          <a:off x="506027" y="12247739"/>
          <a:ext cx="591482" cy="5414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524011</xdr:colOff>
      <xdr:row>17</xdr:row>
      <xdr:rowOff>636461</xdr:rowOff>
    </xdr:from>
    <xdr:to>
      <xdr:col>0</xdr:col>
      <xdr:colOff>1107801</xdr:colOff>
      <xdr:row>18</xdr:row>
      <xdr:rowOff>477027</xdr:rowOff>
    </xdr:to>
    <xdr:pic>
      <xdr:nvPicPr>
        <xdr:cNvPr id="136" name="Imagen 21" descr="Imagen 21"/>
        <xdr:cNvPicPr>
          <a:picLocks noChangeAspect="1"/>
        </xdr:cNvPicPr>
      </xdr:nvPicPr>
      <xdr:blipFill>
        <a:blip r:embed="rId5">
          <a:extLst/>
        </a:blip>
        <a:srcRect l="0" t="63599" r="0" b="19835"/>
        <a:stretch>
          <a:fillRect/>
        </a:stretch>
      </xdr:blipFill>
      <xdr:spPr>
        <a:xfrm>
          <a:off x="524010" y="12961811"/>
          <a:ext cx="583791" cy="5358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682181</xdr:colOff>
      <xdr:row>16</xdr:row>
      <xdr:rowOff>212070</xdr:rowOff>
    </xdr:from>
    <xdr:to>
      <xdr:col>6</xdr:col>
      <xdr:colOff>15354</xdr:colOff>
      <xdr:row>16</xdr:row>
      <xdr:rowOff>663388</xdr:rowOff>
    </xdr:to>
    <xdr:sp>
      <xdr:nvSpPr>
        <xdr:cNvPr id="137" name="Rectangle 4"/>
        <xdr:cNvSpPr/>
      </xdr:nvSpPr>
      <xdr:spPr>
        <a:xfrm>
          <a:off x="6841681" y="11842095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690312</xdr:colOff>
      <xdr:row>17</xdr:row>
      <xdr:rowOff>201107</xdr:rowOff>
    </xdr:from>
    <xdr:to>
      <xdr:col>6</xdr:col>
      <xdr:colOff>23485</xdr:colOff>
      <xdr:row>17</xdr:row>
      <xdr:rowOff>652425</xdr:rowOff>
    </xdr:to>
    <xdr:sp>
      <xdr:nvSpPr>
        <xdr:cNvPr id="138" name="Rectangle 4"/>
        <xdr:cNvSpPr/>
      </xdr:nvSpPr>
      <xdr:spPr>
        <a:xfrm>
          <a:off x="6849812" y="12526457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688155</xdr:colOff>
      <xdr:row>15</xdr:row>
      <xdr:rowOff>218750</xdr:rowOff>
    </xdr:from>
    <xdr:to>
      <xdr:col>6</xdr:col>
      <xdr:colOff>18179</xdr:colOff>
      <xdr:row>15</xdr:row>
      <xdr:rowOff>670067</xdr:rowOff>
    </xdr:to>
    <xdr:sp>
      <xdr:nvSpPr>
        <xdr:cNvPr id="139" name="Rectangle 4"/>
        <xdr:cNvSpPr/>
      </xdr:nvSpPr>
      <xdr:spPr>
        <a:xfrm>
          <a:off x="6847655" y="11153450"/>
          <a:ext cx="56192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603959</xdr:colOff>
      <xdr:row>17</xdr:row>
      <xdr:rowOff>127300</xdr:rowOff>
    </xdr:from>
    <xdr:to>
      <xdr:col>7</xdr:col>
      <xdr:colOff>1103013</xdr:colOff>
      <xdr:row>18</xdr:row>
      <xdr:rowOff>16233</xdr:rowOff>
    </xdr:to>
    <xdr:pic>
      <xdr:nvPicPr>
        <xdr:cNvPr id="140" name="Imagen 25" descr="Imagen 25"/>
        <xdr:cNvPicPr>
          <a:picLocks noChangeAspect="1"/>
        </xdr:cNvPicPr>
      </xdr:nvPicPr>
      <xdr:blipFill>
        <a:blip r:embed="rId6">
          <a:extLst/>
        </a:blip>
        <a:srcRect l="0" t="428" r="0" b="83905"/>
        <a:stretch>
          <a:fillRect/>
        </a:stretch>
      </xdr:blipFill>
      <xdr:spPr>
        <a:xfrm>
          <a:off x="9227259" y="12452650"/>
          <a:ext cx="499055" cy="5842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637708</xdr:colOff>
      <xdr:row>18</xdr:row>
      <xdr:rowOff>97342</xdr:rowOff>
    </xdr:from>
    <xdr:to>
      <xdr:col>11</xdr:col>
      <xdr:colOff>4232</xdr:colOff>
      <xdr:row>18</xdr:row>
      <xdr:rowOff>607102</xdr:rowOff>
    </xdr:to>
    <xdr:pic>
      <xdr:nvPicPr>
        <xdr:cNvPr id="141" name="Imagen 26" descr="Imagen 26"/>
        <xdr:cNvPicPr>
          <a:picLocks noChangeAspect="1"/>
        </xdr:cNvPicPr>
      </xdr:nvPicPr>
      <xdr:blipFill>
        <a:blip r:embed="rId7">
          <a:extLst/>
        </a:blip>
        <a:srcRect l="0" t="14319" r="108" b="71356"/>
        <a:stretch>
          <a:fillRect/>
        </a:stretch>
      </xdr:blipFill>
      <xdr:spPr>
        <a:xfrm>
          <a:off x="12956708" y="13118017"/>
          <a:ext cx="598425" cy="509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672327</xdr:colOff>
      <xdr:row>19</xdr:row>
      <xdr:rowOff>133754</xdr:rowOff>
    </xdr:from>
    <xdr:to>
      <xdr:col>11</xdr:col>
      <xdr:colOff>4232</xdr:colOff>
      <xdr:row>19</xdr:row>
      <xdr:rowOff>582724</xdr:rowOff>
    </xdr:to>
    <xdr:pic>
      <xdr:nvPicPr>
        <xdr:cNvPr id="142" name="Imagen 27" descr="Imagen 27"/>
        <xdr:cNvPicPr>
          <a:picLocks noChangeAspect="1"/>
        </xdr:cNvPicPr>
      </xdr:nvPicPr>
      <xdr:blipFill>
        <a:blip r:embed="rId7">
          <a:extLst/>
        </a:blip>
        <a:srcRect l="0" t="30153" r="0" b="56434"/>
        <a:stretch>
          <a:fillRect/>
        </a:stretch>
      </xdr:blipFill>
      <xdr:spPr>
        <a:xfrm>
          <a:off x="12991327" y="13849754"/>
          <a:ext cx="563806" cy="4489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709972</xdr:colOff>
      <xdr:row>23</xdr:row>
      <xdr:rowOff>161703</xdr:rowOff>
    </xdr:from>
    <xdr:to>
      <xdr:col>11</xdr:col>
      <xdr:colOff>2539</xdr:colOff>
      <xdr:row>23</xdr:row>
      <xdr:rowOff>579868</xdr:rowOff>
    </xdr:to>
    <xdr:pic>
      <xdr:nvPicPr>
        <xdr:cNvPr id="143" name="Imagen 28" descr="Imagen 28"/>
        <xdr:cNvPicPr>
          <a:picLocks noChangeAspect="1"/>
        </xdr:cNvPicPr>
      </xdr:nvPicPr>
      <xdr:blipFill>
        <a:blip r:embed="rId7">
          <a:extLst/>
        </a:blip>
        <a:srcRect l="0" t="86677" r="0" b="0"/>
        <a:stretch>
          <a:fillRect/>
        </a:stretch>
      </xdr:blipFill>
      <xdr:spPr>
        <a:xfrm>
          <a:off x="13028972" y="16659003"/>
          <a:ext cx="524468" cy="4181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660531</xdr:colOff>
      <xdr:row>20</xdr:row>
      <xdr:rowOff>131232</xdr:rowOff>
    </xdr:from>
    <xdr:to>
      <xdr:col>10</xdr:col>
      <xdr:colOff>1134532</xdr:colOff>
      <xdr:row>20</xdr:row>
      <xdr:rowOff>576794</xdr:rowOff>
    </xdr:to>
    <xdr:pic>
      <xdr:nvPicPr>
        <xdr:cNvPr id="144" name="Imagen 29" descr="Imagen 29"/>
        <xdr:cNvPicPr>
          <a:picLocks noChangeAspect="1"/>
        </xdr:cNvPicPr>
      </xdr:nvPicPr>
      <xdr:blipFill>
        <a:blip r:embed="rId7">
          <a:extLst/>
        </a:blip>
        <a:srcRect l="0" t="43629" r="0" b="42959"/>
        <a:stretch>
          <a:fillRect/>
        </a:stretch>
      </xdr:blipFill>
      <xdr:spPr>
        <a:xfrm>
          <a:off x="12979531" y="14542557"/>
          <a:ext cx="474002" cy="4455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668997</xdr:colOff>
      <xdr:row>21</xdr:row>
      <xdr:rowOff>97607</xdr:rowOff>
    </xdr:from>
    <xdr:to>
      <xdr:col>10</xdr:col>
      <xdr:colOff>1134533</xdr:colOff>
      <xdr:row>21</xdr:row>
      <xdr:rowOff>562115</xdr:rowOff>
    </xdr:to>
    <xdr:pic>
      <xdr:nvPicPr>
        <xdr:cNvPr id="145" name="Imagen 30" descr="Imagen 30"/>
        <xdr:cNvPicPr>
          <a:picLocks noChangeAspect="1"/>
        </xdr:cNvPicPr>
      </xdr:nvPicPr>
      <xdr:blipFill>
        <a:blip r:embed="rId7">
          <a:extLst/>
        </a:blip>
        <a:srcRect l="0" t="57722" r="0" b="29092"/>
        <a:stretch>
          <a:fillRect/>
        </a:stretch>
      </xdr:blipFill>
      <xdr:spPr>
        <a:xfrm>
          <a:off x="12987997" y="15204257"/>
          <a:ext cx="465537" cy="46450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705042</xdr:colOff>
      <xdr:row>22</xdr:row>
      <xdr:rowOff>146977</xdr:rowOff>
    </xdr:from>
    <xdr:to>
      <xdr:col>10</xdr:col>
      <xdr:colOff>1139612</xdr:colOff>
      <xdr:row>22</xdr:row>
      <xdr:rowOff>565363</xdr:rowOff>
    </xdr:to>
    <xdr:pic>
      <xdr:nvPicPr>
        <xdr:cNvPr id="146" name="Imagen 31" descr="Imagen 31"/>
        <xdr:cNvPicPr>
          <a:picLocks noChangeAspect="1"/>
        </xdr:cNvPicPr>
      </xdr:nvPicPr>
      <xdr:blipFill>
        <a:blip r:embed="rId7">
          <a:extLst/>
        </a:blip>
        <a:srcRect l="0" t="71218" r="0" b="15450"/>
        <a:stretch>
          <a:fillRect/>
        </a:stretch>
      </xdr:blipFill>
      <xdr:spPr>
        <a:xfrm>
          <a:off x="13024042" y="15948952"/>
          <a:ext cx="434571" cy="4183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688706</xdr:colOff>
      <xdr:row>17</xdr:row>
      <xdr:rowOff>98007</xdr:rowOff>
    </xdr:from>
    <xdr:to>
      <xdr:col>13</xdr:col>
      <xdr:colOff>1135784</xdr:colOff>
      <xdr:row>17</xdr:row>
      <xdr:rowOff>570331</xdr:rowOff>
    </xdr:to>
    <xdr:pic>
      <xdr:nvPicPr>
        <xdr:cNvPr id="147" name="Imagen 32" descr="Imagen 32"/>
        <xdr:cNvPicPr>
          <a:picLocks noChangeAspect="1"/>
        </xdr:cNvPicPr>
      </xdr:nvPicPr>
      <xdr:blipFill>
        <a:blip r:embed="rId8">
          <a:extLst/>
        </a:blip>
        <a:srcRect l="3328" t="0" r="0" b="86531"/>
        <a:stretch>
          <a:fillRect/>
        </a:stretch>
      </xdr:blipFill>
      <xdr:spPr>
        <a:xfrm>
          <a:off x="16703406" y="12423357"/>
          <a:ext cx="447079" cy="4723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694650</xdr:colOff>
      <xdr:row>18</xdr:row>
      <xdr:rowOff>10461</xdr:rowOff>
    </xdr:from>
    <xdr:to>
      <xdr:col>14</xdr:col>
      <xdr:colOff>11538</xdr:colOff>
      <xdr:row>18</xdr:row>
      <xdr:rowOff>568422</xdr:rowOff>
    </xdr:to>
    <xdr:pic>
      <xdr:nvPicPr>
        <xdr:cNvPr id="148" name="Imagen 33" descr="Imagen 33"/>
        <xdr:cNvPicPr>
          <a:picLocks noChangeAspect="1"/>
        </xdr:cNvPicPr>
      </xdr:nvPicPr>
      <xdr:blipFill>
        <a:blip r:embed="rId8">
          <a:extLst/>
        </a:blip>
        <a:srcRect l="0" t="16879" r="1232" b="66990"/>
        <a:stretch>
          <a:fillRect/>
        </a:stretch>
      </xdr:blipFill>
      <xdr:spPr>
        <a:xfrm>
          <a:off x="16709350" y="13031136"/>
          <a:ext cx="548789" cy="5579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14</xdr:col>
      <xdr:colOff>158750</xdr:colOff>
      <xdr:row>25</xdr:row>
      <xdr:rowOff>663410</xdr:rowOff>
    </xdr:from>
    <xdr:to>
      <xdr:col>16</xdr:col>
      <xdr:colOff>24694</xdr:colOff>
      <xdr:row>27</xdr:row>
      <xdr:rowOff>306802</xdr:rowOff>
    </xdr:to>
    <xdr:pic>
      <xdr:nvPicPr>
        <xdr:cNvPr id="149" name="Imagen 34" descr="Imagen 34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7405350" y="18551360"/>
          <a:ext cx="2329745" cy="10340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622451</xdr:colOff>
      <xdr:row>19</xdr:row>
      <xdr:rowOff>32379</xdr:rowOff>
    </xdr:from>
    <xdr:to>
      <xdr:col>8</xdr:col>
      <xdr:colOff>244</xdr:colOff>
      <xdr:row>19</xdr:row>
      <xdr:rowOff>624101</xdr:rowOff>
    </xdr:to>
    <xdr:pic>
      <xdr:nvPicPr>
        <xdr:cNvPr id="150" name="Imagen 36" descr="Imagen 36"/>
        <xdr:cNvPicPr>
          <a:picLocks noChangeAspect="1"/>
        </xdr:cNvPicPr>
      </xdr:nvPicPr>
      <xdr:blipFill>
        <a:blip r:embed="rId6">
          <a:extLst/>
        </a:blip>
        <a:srcRect l="1" t="50910" r="570" b="33484"/>
        <a:stretch>
          <a:fillRect/>
        </a:stretch>
      </xdr:blipFill>
      <xdr:spPr>
        <a:xfrm>
          <a:off x="9245751" y="13748379"/>
          <a:ext cx="609694" cy="59172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648609</xdr:colOff>
      <xdr:row>9</xdr:row>
      <xdr:rowOff>122581</xdr:rowOff>
    </xdr:from>
    <xdr:to>
      <xdr:col>5</xdr:col>
      <xdr:colOff>1123714</xdr:colOff>
      <xdr:row>9</xdr:row>
      <xdr:rowOff>575063</xdr:rowOff>
    </xdr:to>
    <xdr:sp>
      <xdr:nvSpPr>
        <xdr:cNvPr id="151" name="Rectangle 4"/>
        <xdr:cNvSpPr/>
      </xdr:nvSpPr>
      <xdr:spPr>
        <a:xfrm>
          <a:off x="6808109" y="6885331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659237</xdr:colOff>
      <xdr:row>10</xdr:row>
      <xdr:rowOff>145419</xdr:rowOff>
    </xdr:from>
    <xdr:to>
      <xdr:col>5</xdr:col>
      <xdr:colOff>1134342</xdr:colOff>
      <xdr:row>10</xdr:row>
      <xdr:rowOff>597901</xdr:rowOff>
    </xdr:to>
    <xdr:sp>
      <xdr:nvSpPr>
        <xdr:cNvPr id="152" name="Rectangle 4"/>
        <xdr:cNvSpPr/>
      </xdr:nvSpPr>
      <xdr:spPr>
        <a:xfrm>
          <a:off x="6818737" y="7603494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682294</xdr:colOff>
      <xdr:row>18</xdr:row>
      <xdr:rowOff>133751</xdr:rowOff>
    </xdr:from>
    <xdr:to>
      <xdr:col>6</xdr:col>
      <xdr:colOff>15467</xdr:colOff>
      <xdr:row>18</xdr:row>
      <xdr:rowOff>585811</xdr:rowOff>
    </xdr:to>
    <xdr:sp>
      <xdr:nvSpPr>
        <xdr:cNvPr id="153" name="Rectangle 4"/>
        <xdr:cNvSpPr/>
      </xdr:nvSpPr>
      <xdr:spPr>
        <a:xfrm>
          <a:off x="6841794" y="13154426"/>
          <a:ext cx="565074" cy="452061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683025</xdr:colOff>
      <xdr:row>19</xdr:row>
      <xdr:rowOff>108264</xdr:rowOff>
    </xdr:from>
    <xdr:to>
      <xdr:col>6</xdr:col>
      <xdr:colOff>16198</xdr:colOff>
      <xdr:row>19</xdr:row>
      <xdr:rowOff>560149</xdr:rowOff>
    </xdr:to>
    <xdr:sp>
      <xdr:nvSpPr>
        <xdr:cNvPr id="154" name="Rectangle 4"/>
        <xdr:cNvSpPr/>
      </xdr:nvSpPr>
      <xdr:spPr>
        <a:xfrm>
          <a:off x="6842525" y="13824264"/>
          <a:ext cx="565074" cy="451886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624155</xdr:colOff>
      <xdr:row>19</xdr:row>
      <xdr:rowOff>578026</xdr:rowOff>
    </xdr:from>
    <xdr:to>
      <xdr:col>7</xdr:col>
      <xdr:colOff>1225644</xdr:colOff>
      <xdr:row>20</xdr:row>
      <xdr:rowOff>613134</xdr:rowOff>
    </xdr:to>
    <xdr:pic>
      <xdr:nvPicPr>
        <xdr:cNvPr id="155" name="Imagen 41" descr="Imagen 41"/>
        <xdr:cNvPicPr>
          <a:picLocks noChangeAspect="1"/>
        </xdr:cNvPicPr>
      </xdr:nvPicPr>
      <xdr:blipFill>
        <a:blip r:embed="rId6">
          <a:extLst/>
        </a:blip>
        <a:srcRect l="0" t="64840" r="0" b="16097"/>
        <a:stretch>
          <a:fillRect/>
        </a:stretch>
      </xdr:blipFill>
      <xdr:spPr>
        <a:xfrm>
          <a:off x="9247455" y="14294026"/>
          <a:ext cx="601490" cy="7304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639992</xdr:colOff>
      <xdr:row>21</xdr:row>
      <xdr:rowOff>105076</xdr:rowOff>
    </xdr:from>
    <xdr:to>
      <xdr:col>7</xdr:col>
      <xdr:colOff>1220089</xdr:colOff>
      <xdr:row>21</xdr:row>
      <xdr:rowOff>588432</xdr:rowOff>
    </xdr:to>
    <xdr:pic>
      <xdr:nvPicPr>
        <xdr:cNvPr id="156" name="Imagen 42" descr="Imagen 42"/>
        <xdr:cNvPicPr>
          <a:picLocks noChangeAspect="1"/>
        </xdr:cNvPicPr>
      </xdr:nvPicPr>
      <xdr:blipFill>
        <a:blip r:embed="rId6">
          <a:extLst/>
        </a:blip>
        <a:srcRect l="0" t="87080" r="0" b="0"/>
        <a:stretch>
          <a:fillRect/>
        </a:stretch>
      </xdr:blipFill>
      <xdr:spPr>
        <a:xfrm>
          <a:off x="9263292" y="15211726"/>
          <a:ext cx="580098" cy="4833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628081</xdr:colOff>
      <xdr:row>18</xdr:row>
      <xdr:rowOff>61374</xdr:rowOff>
    </xdr:from>
    <xdr:to>
      <xdr:col>7</xdr:col>
      <xdr:colOff>1127206</xdr:colOff>
      <xdr:row>18</xdr:row>
      <xdr:rowOff>634054</xdr:rowOff>
    </xdr:to>
    <xdr:pic>
      <xdr:nvPicPr>
        <xdr:cNvPr id="157" name="Imagen 43" descr="Imagen 43"/>
        <xdr:cNvPicPr>
          <a:picLocks noChangeAspect="1"/>
        </xdr:cNvPicPr>
      </xdr:nvPicPr>
      <xdr:blipFill>
        <a:blip r:embed="rId6">
          <a:extLst/>
        </a:blip>
        <a:srcRect l="0" t="16132" r="0" b="68466"/>
        <a:stretch>
          <a:fillRect/>
        </a:stretch>
      </xdr:blipFill>
      <xdr:spPr>
        <a:xfrm>
          <a:off x="9251381" y="13082049"/>
          <a:ext cx="499126" cy="5726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629177</xdr:colOff>
      <xdr:row>17</xdr:row>
      <xdr:rowOff>126699</xdr:rowOff>
    </xdr:from>
    <xdr:to>
      <xdr:col>11</xdr:col>
      <xdr:colOff>6484</xdr:colOff>
      <xdr:row>17</xdr:row>
      <xdr:rowOff>642325</xdr:rowOff>
    </xdr:to>
    <xdr:pic>
      <xdr:nvPicPr>
        <xdr:cNvPr id="158" name="Imagen 44" descr="Imagen 44"/>
        <xdr:cNvPicPr>
          <a:picLocks noChangeAspect="1"/>
        </xdr:cNvPicPr>
      </xdr:nvPicPr>
      <xdr:blipFill>
        <a:blip r:embed="rId7">
          <a:extLst/>
        </a:blip>
        <a:srcRect l="0" t="363" r="0" b="85375"/>
        <a:stretch>
          <a:fillRect/>
        </a:stretch>
      </xdr:blipFill>
      <xdr:spPr>
        <a:xfrm>
          <a:off x="12948177" y="12452049"/>
          <a:ext cx="609208" cy="5156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674855</xdr:colOff>
      <xdr:row>20</xdr:row>
      <xdr:rowOff>90901</xdr:rowOff>
    </xdr:from>
    <xdr:to>
      <xdr:col>13</xdr:col>
      <xdr:colOff>1225894</xdr:colOff>
      <xdr:row>20</xdr:row>
      <xdr:rowOff>589551</xdr:rowOff>
    </xdr:to>
    <xdr:pic>
      <xdr:nvPicPr>
        <xdr:cNvPr id="159" name="Imagen 45" descr="Imagen 45"/>
        <xdr:cNvPicPr>
          <a:picLocks noChangeAspect="1"/>
        </xdr:cNvPicPr>
      </xdr:nvPicPr>
      <xdr:blipFill>
        <a:blip r:embed="rId8">
          <a:extLst/>
        </a:blip>
        <a:srcRect l="1" t="53840" r="0" b="31705"/>
        <a:stretch>
          <a:fillRect/>
        </a:stretch>
      </xdr:blipFill>
      <xdr:spPr>
        <a:xfrm>
          <a:off x="16689555" y="14502226"/>
          <a:ext cx="551040" cy="498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699099</xdr:colOff>
      <xdr:row>19</xdr:row>
      <xdr:rowOff>8654</xdr:rowOff>
    </xdr:from>
    <xdr:to>
      <xdr:col>14</xdr:col>
      <xdr:colOff>23515</xdr:colOff>
      <xdr:row>19</xdr:row>
      <xdr:rowOff>641348</xdr:rowOff>
    </xdr:to>
    <xdr:pic>
      <xdr:nvPicPr>
        <xdr:cNvPr id="160" name="Imagen 46" descr="Imagen 46"/>
        <xdr:cNvPicPr>
          <a:picLocks noChangeAspect="1"/>
        </xdr:cNvPicPr>
      </xdr:nvPicPr>
      <xdr:blipFill>
        <a:blip r:embed="rId8">
          <a:extLst/>
        </a:blip>
        <a:srcRect l="0" t="34868" r="0" b="46838"/>
        <a:stretch>
          <a:fillRect/>
        </a:stretch>
      </xdr:blipFill>
      <xdr:spPr>
        <a:xfrm>
          <a:off x="16713799" y="13724654"/>
          <a:ext cx="556317" cy="6326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683424</xdr:colOff>
      <xdr:row>22</xdr:row>
      <xdr:rowOff>84795</xdr:rowOff>
    </xdr:from>
    <xdr:to>
      <xdr:col>13</xdr:col>
      <xdr:colOff>1220035</xdr:colOff>
      <xdr:row>22</xdr:row>
      <xdr:rowOff>594171</xdr:rowOff>
    </xdr:to>
    <xdr:pic>
      <xdr:nvPicPr>
        <xdr:cNvPr id="161" name="Imagen 47" descr="Imagen 47"/>
        <xdr:cNvPicPr>
          <a:picLocks noChangeAspect="1"/>
        </xdr:cNvPicPr>
      </xdr:nvPicPr>
      <xdr:blipFill>
        <a:blip r:embed="rId8">
          <a:extLst/>
        </a:blip>
        <a:srcRect l="0" t="85234" r="0" b="0"/>
        <a:stretch>
          <a:fillRect/>
        </a:stretch>
      </xdr:blipFill>
      <xdr:spPr>
        <a:xfrm>
          <a:off x="16698124" y="15886770"/>
          <a:ext cx="536612" cy="5093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678696</xdr:colOff>
      <xdr:row>21</xdr:row>
      <xdr:rowOff>61099</xdr:rowOff>
    </xdr:from>
    <xdr:to>
      <xdr:col>13</xdr:col>
      <xdr:colOff>1228257</xdr:colOff>
      <xdr:row>21</xdr:row>
      <xdr:rowOff>637664</xdr:rowOff>
    </xdr:to>
    <xdr:pic>
      <xdr:nvPicPr>
        <xdr:cNvPr id="162" name="Imagen 48" descr="Imagen 48"/>
        <xdr:cNvPicPr>
          <a:picLocks noChangeAspect="1"/>
        </xdr:cNvPicPr>
      </xdr:nvPicPr>
      <xdr:blipFill>
        <a:blip r:embed="rId8">
          <a:extLst/>
        </a:blip>
        <a:srcRect l="0" t="67489" r="0" b="15797"/>
        <a:stretch>
          <a:fillRect/>
        </a:stretch>
      </xdr:blipFill>
      <xdr:spPr>
        <a:xfrm>
          <a:off x="16693396" y="15167749"/>
          <a:ext cx="549562" cy="5765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252158</xdr:colOff>
      <xdr:row>0</xdr:row>
      <xdr:rowOff>455813</xdr:rowOff>
    </xdr:from>
    <xdr:to>
      <xdr:col>1</xdr:col>
      <xdr:colOff>798689</xdr:colOff>
      <xdr:row>0</xdr:row>
      <xdr:rowOff>804322</xdr:rowOff>
    </xdr:to>
    <xdr:pic>
      <xdr:nvPicPr>
        <xdr:cNvPr id="164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2158" y="455813"/>
          <a:ext cx="1638731" cy="3485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315126</xdr:colOff>
      <xdr:row>0</xdr:row>
      <xdr:rowOff>20760</xdr:rowOff>
    </xdr:from>
    <xdr:to>
      <xdr:col>6</xdr:col>
      <xdr:colOff>783088</xdr:colOff>
      <xdr:row>0</xdr:row>
      <xdr:rowOff>1234721</xdr:rowOff>
    </xdr:to>
    <xdr:pic>
      <xdr:nvPicPr>
        <xdr:cNvPr id="165" name="Imagen 8" descr="Imagen 8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941226" y="20760"/>
          <a:ext cx="1560163" cy="12139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1016196</xdr:colOff>
      <xdr:row>2</xdr:row>
      <xdr:rowOff>121740</xdr:rowOff>
    </xdr:from>
    <xdr:to>
      <xdr:col>4</xdr:col>
      <xdr:colOff>589224</xdr:colOff>
      <xdr:row>8</xdr:row>
      <xdr:rowOff>235755</xdr:rowOff>
    </xdr:to>
    <xdr:pic>
      <xdr:nvPicPr>
        <xdr:cNvPr id="166" name="Imagen 9" descr="Imagen 9"/>
        <xdr:cNvPicPr>
          <a:picLocks noChangeAspect="1"/>
        </xdr:cNvPicPr>
      </xdr:nvPicPr>
      <xdr:blipFill>
        <a:blip r:embed="rId3">
          <a:extLst/>
        </a:blip>
        <a:srcRect l="0" t="13305" r="0" b="14345"/>
        <a:stretch>
          <a:fillRect/>
        </a:stretch>
      </xdr:blipFill>
      <xdr:spPr>
        <a:xfrm flipH="1" rot="16200000">
          <a:off x="2992015" y="3327521"/>
          <a:ext cx="3317591" cy="71602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46321</xdr:colOff>
      <xdr:row>14</xdr:row>
      <xdr:rowOff>406400</xdr:rowOff>
    </xdr:from>
    <xdr:to>
      <xdr:col>1</xdr:col>
      <xdr:colOff>931335</xdr:colOff>
      <xdr:row>16</xdr:row>
      <xdr:rowOff>23119</xdr:rowOff>
    </xdr:to>
    <xdr:pic>
      <xdr:nvPicPr>
        <xdr:cNvPr id="167" name="Imagen 10" descr="Imagen 10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138521" y="9016365"/>
          <a:ext cx="885015" cy="9051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91016</xdr:colOff>
      <xdr:row>19</xdr:row>
      <xdr:rowOff>232836</xdr:rowOff>
    </xdr:from>
    <xdr:to>
      <xdr:col>11</xdr:col>
      <xdr:colOff>1090089</xdr:colOff>
      <xdr:row>21</xdr:row>
      <xdr:rowOff>80005</xdr:rowOff>
    </xdr:to>
    <xdr:pic>
      <xdr:nvPicPr>
        <xdr:cNvPr id="168" name="Imagen 11" descr="Imagen 11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2295716" y="11881911"/>
          <a:ext cx="999074" cy="8784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82825</xdr:colOff>
      <xdr:row>0</xdr:row>
      <xdr:rowOff>348043</xdr:rowOff>
    </xdr:from>
    <xdr:to>
      <xdr:col>1</xdr:col>
      <xdr:colOff>21078</xdr:colOff>
      <xdr:row>0</xdr:row>
      <xdr:rowOff>596900</xdr:rowOff>
    </xdr:to>
    <xdr:pic>
      <xdr:nvPicPr>
        <xdr:cNvPr id="170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120924</xdr:colOff>
      <xdr:row>0</xdr:row>
      <xdr:rowOff>348043</xdr:rowOff>
    </xdr:from>
    <xdr:to>
      <xdr:col>1</xdr:col>
      <xdr:colOff>59178</xdr:colOff>
      <xdr:row>0</xdr:row>
      <xdr:rowOff>596900</xdr:rowOff>
    </xdr:to>
    <xdr:pic>
      <xdr:nvPicPr>
        <xdr:cNvPr id="171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20924" y="348043"/>
          <a:ext cx="1170155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803678</xdr:colOff>
      <xdr:row>0</xdr:row>
      <xdr:rowOff>187574</xdr:rowOff>
    </xdr:from>
    <xdr:to>
      <xdr:col>7</xdr:col>
      <xdr:colOff>222987</xdr:colOff>
      <xdr:row>0</xdr:row>
      <xdr:rowOff>848308</xdr:rowOff>
    </xdr:to>
    <xdr:pic>
      <xdr:nvPicPr>
        <xdr:cNvPr id="172" name="Picture 104" descr="Picture 104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8195078" y="187574"/>
          <a:ext cx="651210" cy="6607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459924</xdr:colOff>
      <xdr:row>7</xdr:row>
      <xdr:rowOff>674413</xdr:rowOff>
    </xdr:from>
    <xdr:to>
      <xdr:col>0</xdr:col>
      <xdr:colOff>1108751</xdr:colOff>
      <xdr:row>8</xdr:row>
      <xdr:rowOff>628674</xdr:rowOff>
    </xdr:to>
    <xdr:pic>
      <xdr:nvPicPr>
        <xdr:cNvPr id="173" name="Imagen 4" descr="Imagen 4"/>
        <xdr:cNvPicPr>
          <a:picLocks noChangeAspect="1"/>
        </xdr:cNvPicPr>
      </xdr:nvPicPr>
      <xdr:blipFill>
        <a:blip r:embed="rId3">
          <a:extLst/>
        </a:blip>
        <a:srcRect l="0" t="0" r="4356" b="75451"/>
        <a:stretch>
          <a:fillRect/>
        </a:stretch>
      </xdr:blipFill>
      <xdr:spPr>
        <a:xfrm>
          <a:off x="459924" y="6046513"/>
          <a:ext cx="648828" cy="6495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487660</xdr:colOff>
      <xdr:row>10</xdr:row>
      <xdr:rowOff>19921</xdr:rowOff>
    </xdr:from>
    <xdr:to>
      <xdr:col>0</xdr:col>
      <xdr:colOff>1137475</xdr:colOff>
      <xdr:row>10</xdr:row>
      <xdr:rowOff>687931</xdr:rowOff>
    </xdr:to>
    <xdr:pic>
      <xdr:nvPicPr>
        <xdr:cNvPr id="174" name="Imagen 5" descr="Imagen 5"/>
        <xdr:cNvPicPr>
          <a:picLocks noChangeAspect="1"/>
        </xdr:cNvPicPr>
      </xdr:nvPicPr>
      <xdr:blipFill>
        <a:blip r:embed="rId3">
          <a:extLst/>
        </a:blip>
        <a:srcRect l="0" t="74007" r="0" b="0"/>
        <a:stretch>
          <a:fillRect/>
        </a:stretch>
      </xdr:blipFill>
      <xdr:spPr>
        <a:xfrm>
          <a:off x="487660" y="7477996"/>
          <a:ext cx="649816" cy="6680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451782</xdr:colOff>
      <xdr:row>8</xdr:row>
      <xdr:rowOff>683346</xdr:rowOff>
    </xdr:from>
    <xdr:to>
      <xdr:col>1</xdr:col>
      <xdr:colOff>16720</xdr:colOff>
      <xdr:row>9</xdr:row>
      <xdr:rowOff>673776</xdr:rowOff>
    </xdr:to>
    <xdr:pic>
      <xdr:nvPicPr>
        <xdr:cNvPr id="175" name="Imagen 6" descr="Imagen 6"/>
        <xdr:cNvPicPr>
          <a:picLocks noChangeAspect="1"/>
        </xdr:cNvPicPr>
      </xdr:nvPicPr>
      <xdr:blipFill>
        <a:blip r:embed="rId3">
          <a:extLst/>
        </a:blip>
        <a:srcRect l="0" t="24549" r="0" b="50180"/>
        <a:stretch>
          <a:fillRect/>
        </a:stretch>
      </xdr:blipFill>
      <xdr:spPr>
        <a:xfrm>
          <a:off x="451782" y="6750771"/>
          <a:ext cx="796839" cy="6857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501494</xdr:colOff>
      <xdr:row>10</xdr:row>
      <xdr:rowOff>654535</xdr:rowOff>
    </xdr:from>
    <xdr:to>
      <xdr:col>7</xdr:col>
      <xdr:colOff>1088349</xdr:colOff>
      <xdr:row>11</xdr:row>
      <xdr:rowOff>607970</xdr:rowOff>
    </xdr:to>
    <xdr:pic>
      <xdr:nvPicPr>
        <xdr:cNvPr id="176" name="Imagen 7" descr="Imagen 7"/>
        <xdr:cNvPicPr>
          <a:picLocks noChangeAspect="1"/>
        </xdr:cNvPicPr>
      </xdr:nvPicPr>
      <xdr:blipFill>
        <a:blip r:embed="rId4">
          <a:extLst/>
        </a:blip>
        <a:srcRect l="12925" t="75693" r="0" b="0"/>
        <a:stretch>
          <a:fillRect/>
        </a:stretch>
      </xdr:blipFill>
      <xdr:spPr>
        <a:xfrm>
          <a:off x="9124794" y="8112610"/>
          <a:ext cx="586856" cy="648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493134</xdr:colOff>
      <xdr:row>8</xdr:row>
      <xdr:rowOff>32079</xdr:rowOff>
    </xdr:from>
    <xdr:to>
      <xdr:col>7</xdr:col>
      <xdr:colOff>1035050</xdr:colOff>
      <xdr:row>8</xdr:row>
      <xdr:rowOff>607618</xdr:rowOff>
    </xdr:to>
    <xdr:pic>
      <xdr:nvPicPr>
        <xdr:cNvPr id="177" name="Imagen 8" descr="Imagen 8"/>
        <xdr:cNvPicPr>
          <a:picLocks noChangeAspect="1"/>
        </xdr:cNvPicPr>
      </xdr:nvPicPr>
      <xdr:blipFill>
        <a:blip r:embed="rId4">
          <a:extLst/>
        </a:blip>
        <a:srcRect l="11564" t="0" r="0" b="75480"/>
        <a:stretch>
          <a:fillRect/>
        </a:stretch>
      </xdr:blipFill>
      <xdr:spPr>
        <a:xfrm>
          <a:off x="9116434" y="6099504"/>
          <a:ext cx="541916" cy="5755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471368</xdr:colOff>
      <xdr:row>9</xdr:row>
      <xdr:rowOff>5881</xdr:rowOff>
    </xdr:from>
    <xdr:to>
      <xdr:col>7</xdr:col>
      <xdr:colOff>1049867</xdr:colOff>
      <xdr:row>9</xdr:row>
      <xdr:rowOff>553587</xdr:rowOff>
    </xdr:to>
    <xdr:pic>
      <xdr:nvPicPr>
        <xdr:cNvPr id="178" name="Imagen 9" descr="Imagen 9"/>
        <xdr:cNvPicPr>
          <a:picLocks noChangeAspect="1"/>
        </xdr:cNvPicPr>
      </xdr:nvPicPr>
      <xdr:blipFill>
        <a:blip r:embed="rId4">
          <a:extLst/>
        </a:blip>
        <a:srcRect l="8163" t="27506" r="0" b="49466"/>
        <a:stretch>
          <a:fillRect/>
        </a:stretch>
      </xdr:blipFill>
      <xdr:spPr>
        <a:xfrm>
          <a:off x="9094668" y="6768631"/>
          <a:ext cx="578500" cy="5477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479407</xdr:colOff>
      <xdr:row>9</xdr:row>
      <xdr:rowOff>646610</xdr:rowOff>
    </xdr:from>
    <xdr:to>
      <xdr:col>7</xdr:col>
      <xdr:colOff>1057256</xdr:colOff>
      <xdr:row>10</xdr:row>
      <xdr:rowOff>539615</xdr:rowOff>
    </xdr:to>
    <xdr:pic>
      <xdr:nvPicPr>
        <xdr:cNvPr id="179" name="Imagen 10" descr="Imagen 10"/>
        <xdr:cNvPicPr>
          <a:picLocks noChangeAspect="1"/>
        </xdr:cNvPicPr>
      </xdr:nvPicPr>
      <xdr:blipFill>
        <a:blip r:embed="rId4">
          <a:extLst/>
        </a:blip>
        <a:srcRect l="10204" t="50746" r="0" b="25585"/>
        <a:stretch>
          <a:fillRect/>
        </a:stretch>
      </xdr:blipFill>
      <xdr:spPr>
        <a:xfrm>
          <a:off x="9102707" y="7409360"/>
          <a:ext cx="577850" cy="5883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657505</xdr:colOff>
      <xdr:row>8</xdr:row>
      <xdr:rowOff>112759</xdr:rowOff>
    </xdr:from>
    <xdr:to>
      <xdr:col>5</xdr:col>
      <xdr:colOff>1132611</xdr:colOff>
      <xdr:row>8</xdr:row>
      <xdr:rowOff>565240</xdr:rowOff>
    </xdr:to>
    <xdr:sp>
      <xdr:nvSpPr>
        <xdr:cNvPr id="180" name="Rectangle 4"/>
        <xdr:cNvSpPr/>
      </xdr:nvSpPr>
      <xdr:spPr>
        <a:xfrm>
          <a:off x="6817005" y="6180184"/>
          <a:ext cx="475107" cy="452482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698580</xdr:colOff>
      <xdr:row>8</xdr:row>
      <xdr:rowOff>123823</xdr:rowOff>
    </xdr:from>
    <xdr:to>
      <xdr:col>16</xdr:col>
      <xdr:colOff>34674</xdr:colOff>
      <xdr:row>8</xdr:row>
      <xdr:rowOff>575140</xdr:rowOff>
    </xdr:to>
    <xdr:sp>
      <xdr:nvSpPr>
        <xdr:cNvPr id="181" name="Rectangle 4"/>
        <xdr:cNvSpPr/>
      </xdr:nvSpPr>
      <xdr:spPr>
        <a:xfrm>
          <a:off x="19177080" y="6191248"/>
          <a:ext cx="56799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695318</xdr:colOff>
      <xdr:row>9</xdr:row>
      <xdr:rowOff>129029</xdr:rowOff>
    </xdr:from>
    <xdr:to>
      <xdr:col>16</xdr:col>
      <xdr:colOff>31411</xdr:colOff>
      <xdr:row>9</xdr:row>
      <xdr:rowOff>580346</xdr:rowOff>
    </xdr:to>
    <xdr:sp>
      <xdr:nvSpPr>
        <xdr:cNvPr id="182" name="Rectangle 4"/>
        <xdr:cNvSpPr/>
      </xdr:nvSpPr>
      <xdr:spPr>
        <a:xfrm>
          <a:off x="19173818" y="6891779"/>
          <a:ext cx="567994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693176</xdr:colOff>
      <xdr:row>10</xdr:row>
      <xdr:rowOff>116775</xdr:rowOff>
    </xdr:from>
    <xdr:to>
      <xdr:col>16</xdr:col>
      <xdr:colOff>31303</xdr:colOff>
      <xdr:row>10</xdr:row>
      <xdr:rowOff>568093</xdr:rowOff>
    </xdr:to>
    <xdr:sp>
      <xdr:nvSpPr>
        <xdr:cNvPr id="183" name="Rectangle 4"/>
        <xdr:cNvSpPr/>
      </xdr:nvSpPr>
      <xdr:spPr>
        <a:xfrm>
          <a:off x="19171676" y="7574850"/>
          <a:ext cx="570028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690205</xdr:colOff>
      <xdr:row>11</xdr:row>
      <xdr:rowOff>134991</xdr:rowOff>
    </xdr:from>
    <xdr:to>
      <xdr:col>16</xdr:col>
      <xdr:colOff>26299</xdr:colOff>
      <xdr:row>11</xdr:row>
      <xdr:rowOff>585740</xdr:rowOff>
    </xdr:to>
    <xdr:sp>
      <xdr:nvSpPr>
        <xdr:cNvPr id="184" name="Rectangle 4"/>
        <xdr:cNvSpPr/>
      </xdr:nvSpPr>
      <xdr:spPr>
        <a:xfrm>
          <a:off x="19168705" y="8288391"/>
          <a:ext cx="567995" cy="450750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189089</xdr:colOff>
      <xdr:row>4</xdr:row>
      <xdr:rowOff>67733</xdr:rowOff>
    </xdr:from>
    <xdr:to>
      <xdr:col>15</xdr:col>
      <xdr:colOff>866421</xdr:colOff>
      <xdr:row>4</xdr:row>
      <xdr:rowOff>81843</xdr:rowOff>
    </xdr:to>
    <xdr:sp>
      <xdr:nvSpPr>
        <xdr:cNvPr id="185" name="Conector recto 16"/>
        <xdr:cNvSpPr/>
      </xdr:nvSpPr>
      <xdr:spPr>
        <a:xfrm flipV="1">
          <a:off x="10044289" y="3353858"/>
          <a:ext cx="9300633" cy="14111"/>
        </a:xfrm>
        <a:prstGeom prst="line">
          <a:avLst/>
        </a:prstGeom>
        <a:noFill/>
        <a:ln w="19050" cap="flat">
          <a:solidFill>
            <a:srgbClr val="00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524886</xdr:colOff>
      <xdr:row>18</xdr:row>
      <xdr:rowOff>613279</xdr:rowOff>
    </xdr:from>
    <xdr:to>
      <xdr:col>0</xdr:col>
      <xdr:colOff>1108676</xdr:colOff>
      <xdr:row>19</xdr:row>
      <xdr:rowOff>502936</xdr:rowOff>
    </xdr:to>
    <xdr:pic>
      <xdr:nvPicPr>
        <xdr:cNvPr id="186" name="Imagen 17" descr="Imagen 17"/>
        <xdr:cNvPicPr>
          <a:picLocks noChangeAspect="1"/>
        </xdr:cNvPicPr>
      </xdr:nvPicPr>
      <xdr:blipFill>
        <a:blip r:embed="rId5">
          <a:extLst/>
        </a:blip>
        <a:srcRect l="0" t="81929" r="0" b="0"/>
        <a:stretch>
          <a:fillRect/>
        </a:stretch>
      </xdr:blipFill>
      <xdr:spPr>
        <a:xfrm>
          <a:off x="524885" y="13633954"/>
          <a:ext cx="583792" cy="58498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494816</xdr:colOff>
      <xdr:row>15</xdr:row>
      <xdr:rowOff>1812</xdr:rowOff>
    </xdr:from>
    <xdr:to>
      <xdr:col>0</xdr:col>
      <xdr:colOff>1097569</xdr:colOff>
      <xdr:row>15</xdr:row>
      <xdr:rowOff>542325</xdr:rowOff>
    </xdr:to>
    <xdr:pic>
      <xdr:nvPicPr>
        <xdr:cNvPr id="187" name="Imagen 18" descr="Imagen 18"/>
        <xdr:cNvPicPr>
          <a:picLocks noChangeAspect="1"/>
        </xdr:cNvPicPr>
      </xdr:nvPicPr>
      <xdr:blipFill>
        <a:blip r:embed="rId5">
          <a:extLst/>
        </a:blip>
        <a:srcRect l="0" t="0" r="0" b="83184"/>
        <a:stretch>
          <a:fillRect/>
        </a:stretch>
      </xdr:blipFill>
      <xdr:spPr>
        <a:xfrm>
          <a:off x="494816" y="10936512"/>
          <a:ext cx="602753" cy="54051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503165</xdr:colOff>
      <xdr:row>15</xdr:row>
      <xdr:rowOff>630738</xdr:rowOff>
    </xdr:from>
    <xdr:to>
      <xdr:col>0</xdr:col>
      <xdr:colOff>1085261</xdr:colOff>
      <xdr:row>16</xdr:row>
      <xdr:rowOff>493196</xdr:rowOff>
    </xdr:to>
    <xdr:pic>
      <xdr:nvPicPr>
        <xdr:cNvPr id="188" name="Imagen 19" descr="Imagen 19"/>
        <xdr:cNvPicPr>
          <a:picLocks noChangeAspect="1"/>
        </xdr:cNvPicPr>
      </xdr:nvPicPr>
      <xdr:blipFill>
        <a:blip r:embed="rId5">
          <a:extLst/>
        </a:blip>
        <a:srcRect l="0" t="22860" r="0" b="59903"/>
        <a:stretch>
          <a:fillRect/>
        </a:stretch>
      </xdr:blipFill>
      <xdr:spPr>
        <a:xfrm>
          <a:off x="503165" y="11565438"/>
          <a:ext cx="582096" cy="5577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506027</xdr:colOff>
      <xdr:row>16</xdr:row>
      <xdr:rowOff>617714</xdr:rowOff>
    </xdr:from>
    <xdr:to>
      <xdr:col>0</xdr:col>
      <xdr:colOff>1097508</xdr:colOff>
      <xdr:row>17</xdr:row>
      <xdr:rowOff>463842</xdr:rowOff>
    </xdr:to>
    <xdr:pic>
      <xdr:nvPicPr>
        <xdr:cNvPr id="189" name="Imagen 20" descr="Imagen 20"/>
        <xdr:cNvPicPr>
          <a:picLocks noChangeAspect="1"/>
        </xdr:cNvPicPr>
      </xdr:nvPicPr>
      <xdr:blipFill>
        <a:blip r:embed="rId5">
          <a:extLst/>
        </a:blip>
        <a:srcRect l="0" t="44349" r="0" b="39086"/>
        <a:stretch>
          <a:fillRect/>
        </a:stretch>
      </xdr:blipFill>
      <xdr:spPr>
        <a:xfrm>
          <a:off x="506027" y="12247739"/>
          <a:ext cx="591482" cy="5414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524011</xdr:colOff>
      <xdr:row>17</xdr:row>
      <xdr:rowOff>636461</xdr:rowOff>
    </xdr:from>
    <xdr:to>
      <xdr:col>0</xdr:col>
      <xdr:colOff>1107801</xdr:colOff>
      <xdr:row>18</xdr:row>
      <xdr:rowOff>477027</xdr:rowOff>
    </xdr:to>
    <xdr:pic>
      <xdr:nvPicPr>
        <xdr:cNvPr id="190" name="Imagen 21" descr="Imagen 21"/>
        <xdr:cNvPicPr>
          <a:picLocks noChangeAspect="1"/>
        </xdr:cNvPicPr>
      </xdr:nvPicPr>
      <xdr:blipFill>
        <a:blip r:embed="rId5">
          <a:extLst/>
        </a:blip>
        <a:srcRect l="0" t="63599" r="0" b="19835"/>
        <a:stretch>
          <a:fillRect/>
        </a:stretch>
      </xdr:blipFill>
      <xdr:spPr>
        <a:xfrm>
          <a:off x="524010" y="12961811"/>
          <a:ext cx="583791" cy="5358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682181</xdr:colOff>
      <xdr:row>16</xdr:row>
      <xdr:rowOff>212070</xdr:rowOff>
    </xdr:from>
    <xdr:to>
      <xdr:col>6</xdr:col>
      <xdr:colOff>15354</xdr:colOff>
      <xdr:row>16</xdr:row>
      <xdr:rowOff>663388</xdr:rowOff>
    </xdr:to>
    <xdr:sp>
      <xdr:nvSpPr>
        <xdr:cNvPr id="191" name="Rectangle 4"/>
        <xdr:cNvSpPr/>
      </xdr:nvSpPr>
      <xdr:spPr>
        <a:xfrm>
          <a:off x="6841681" y="11842095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690312</xdr:colOff>
      <xdr:row>17</xdr:row>
      <xdr:rowOff>201107</xdr:rowOff>
    </xdr:from>
    <xdr:to>
      <xdr:col>6</xdr:col>
      <xdr:colOff>23485</xdr:colOff>
      <xdr:row>17</xdr:row>
      <xdr:rowOff>652425</xdr:rowOff>
    </xdr:to>
    <xdr:sp>
      <xdr:nvSpPr>
        <xdr:cNvPr id="192" name="Rectangle 4"/>
        <xdr:cNvSpPr/>
      </xdr:nvSpPr>
      <xdr:spPr>
        <a:xfrm>
          <a:off x="6849812" y="12526457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688155</xdr:colOff>
      <xdr:row>15</xdr:row>
      <xdr:rowOff>218750</xdr:rowOff>
    </xdr:from>
    <xdr:to>
      <xdr:col>6</xdr:col>
      <xdr:colOff>18179</xdr:colOff>
      <xdr:row>15</xdr:row>
      <xdr:rowOff>670067</xdr:rowOff>
    </xdr:to>
    <xdr:sp>
      <xdr:nvSpPr>
        <xdr:cNvPr id="193" name="Rectangle 4"/>
        <xdr:cNvSpPr/>
      </xdr:nvSpPr>
      <xdr:spPr>
        <a:xfrm>
          <a:off x="6847655" y="11153450"/>
          <a:ext cx="56192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603959</xdr:colOff>
      <xdr:row>17</xdr:row>
      <xdr:rowOff>127300</xdr:rowOff>
    </xdr:from>
    <xdr:to>
      <xdr:col>7</xdr:col>
      <xdr:colOff>1103013</xdr:colOff>
      <xdr:row>18</xdr:row>
      <xdr:rowOff>16233</xdr:rowOff>
    </xdr:to>
    <xdr:pic>
      <xdr:nvPicPr>
        <xdr:cNvPr id="194" name="Imagen 25" descr="Imagen 25"/>
        <xdr:cNvPicPr>
          <a:picLocks noChangeAspect="1"/>
        </xdr:cNvPicPr>
      </xdr:nvPicPr>
      <xdr:blipFill>
        <a:blip r:embed="rId6">
          <a:extLst/>
        </a:blip>
        <a:srcRect l="0" t="428" r="0" b="83905"/>
        <a:stretch>
          <a:fillRect/>
        </a:stretch>
      </xdr:blipFill>
      <xdr:spPr>
        <a:xfrm>
          <a:off x="9227259" y="12452650"/>
          <a:ext cx="499055" cy="5842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637708</xdr:colOff>
      <xdr:row>18</xdr:row>
      <xdr:rowOff>97342</xdr:rowOff>
    </xdr:from>
    <xdr:to>
      <xdr:col>11</xdr:col>
      <xdr:colOff>4232</xdr:colOff>
      <xdr:row>18</xdr:row>
      <xdr:rowOff>607102</xdr:rowOff>
    </xdr:to>
    <xdr:pic>
      <xdr:nvPicPr>
        <xdr:cNvPr id="195" name="Imagen 26" descr="Imagen 26"/>
        <xdr:cNvPicPr>
          <a:picLocks noChangeAspect="1"/>
        </xdr:cNvPicPr>
      </xdr:nvPicPr>
      <xdr:blipFill>
        <a:blip r:embed="rId7">
          <a:extLst/>
        </a:blip>
        <a:srcRect l="0" t="14319" r="108" b="71356"/>
        <a:stretch>
          <a:fillRect/>
        </a:stretch>
      </xdr:blipFill>
      <xdr:spPr>
        <a:xfrm>
          <a:off x="12956708" y="13118017"/>
          <a:ext cx="598425" cy="509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672327</xdr:colOff>
      <xdr:row>19</xdr:row>
      <xdr:rowOff>133754</xdr:rowOff>
    </xdr:from>
    <xdr:to>
      <xdr:col>11</xdr:col>
      <xdr:colOff>4232</xdr:colOff>
      <xdr:row>19</xdr:row>
      <xdr:rowOff>582724</xdr:rowOff>
    </xdr:to>
    <xdr:pic>
      <xdr:nvPicPr>
        <xdr:cNvPr id="196" name="Imagen 27" descr="Imagen 27"/>
        <xdr:cNvPicPr>
          <a:picLocks noChangeAspect="1"/>
        </xdr:cNvPicPr>
      </xdr:nvPicPr>
      <xdr:blipFill>
        <a:blip r:embed="rId7">
          <a:extLst/>
        </a:blip>
        <a:srcRect l="0" t="30153" r="0" b="56434"/>
        <a:stretch>
          <a:fillRect/>
        </a:stretch>
      </xdr:blipFill>
      <xdr:spPr>
        <a:xfrm>
          <a:off x="12991327" y="13849754"/>
          <a:ext cx="563806" cy="4489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709972</xdr:colOff>
      <xdr:row>23</xdr:row>
      <xdr:rowOff>161703</xdr:rowOff>
    </xdr:from>
    <xdr:to>
      <xdr:col>11</xdr:col>
      <xdr:colOff>2539</xdr:colOff>
      <xdr:row>23</xdr:row>
      <xdr:rowOff>579868</xdr:rowOff>
    </xdr:to>
    <xdr:pic>
      <xdr:nvPicPr>
        <xdr:cNvPr id="197" name="Imagen 28" descr="Imagen 28"/>
        <xdr:cNvPicPr>
          <a:picLocks noChangeAspect="1"/>
        </xdr:cNvPicPr>
      </xdr:nvPicPr>
      <xdr:blipFill>
        <a:blip r:embed="rId7">
          <a:extLst/>
        </a:blip>
        <a:srcRect l="0" t="86677" r="0" b="0"/>
        <a:stretch>
          <a:fillRect/>
        </a:stretch>
      </xdr:blipFill>
      <xdr:spPr>
        <a:xfrm>
          <a:off x="13028972" y="16659003"/>
          <a:ext cx="524468" cy="4181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660531</xdr:colOff>
      <xdr:row>20</xdr:row>
      <xdr:rowOff>131232</xdr:rowOff>
    </xdr:from>
    <xdr:to>
      <xdr:col>10</xdr:col>
      <xdr:colOff>1134532</xdr:colOff>
      <xdr:row>20</xdr:row>
      <xdr:rowOff>576794</xdr:rowOff>
    </xdr:to>
    <xdr:pic>
      <xdr:nvPicPr>
        <xdr:cNvPr id="198" name="Imagen 29" descr="Imagen 29"/>
        <xdr:cNvPicPr>
          <a:picLocks noChangeAspect="1"/>
        </xdr:cNvPicPr>
      </xdr:nvPicPr>
      <xdr:blipFill>
        <a:blip r:embed="rId7">
          <a:extLst/>
        </a:blip>
        <a:srcRect l="0" t="43629" r="0" b="42959"/>
        <a:stretch>
          <a:fillRect/>
        </a:stretch>
      </xdr:blipFill>
      <xdr:spPr>
        <a:xfrm>
          <a:off x="12979531" y="14542557"/>
          <a:ext cx="474002" cy="4455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668997</xdr:colOff>
      <xdr:row>21</xdr:row>
      <xdr:rowOff>97607</xdr:rowOff>
    </xdr:from>
    <xdr:to>
      <xdr:col>10</xdr:col>
      <xdr:colOff>1134533</xdr:colOff>
      <xdr:row>21</xdr:row>
      <xdr:rowOff>562115</xdr:rowOff>
    </xdr:to>
    <xdr:pic>
      <xdr:nvPicPr>
        <xdr:cNvPr id="199" name="Imagen 30" descr="Imagen 30"/>
        <xdr:cNvPicPr>
          <a:picLocks noChangeAspect="1"/>
        </xdr:cNvPicPr>
      </xdr:nvPicPr>
      <xdr:blipFill>
        <a:blip r:embed="rId7">
          <a:extLst/>
        </a:blip>
        <a:srcRect l="0" t="57722" r="0" b="29092"/>
        <a:stretch>
          <a:fillRect/>
        </a:stretch>
      </xdr:blipFill>
      <xdr:spPr>
        <a:xfrm>
          <a:off x="12987997" y="15204257"/>
          <a:ext cx="465537" cy="46450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705042</xdr:colOff>
      <xdr:row>22</xdr:row>
      <xdr:rowOff>146977</xdr:rowOff>
    </xdr:from>
    <xdr:to>
      <xdr:col>10</xdr:col>
      <xdr:colOff>1139612</xdr:colOff>
      <xdr:row>22</xdr:row>
      <xdr:rowOff>565363</xdr:rowOff>
    </xdr:to>
    <xdr:pic>
      <xdr:nvPicPr>
        <xdr:cNvPr id="200" name="Imagen 31" descr="Imagen 31"/>
        <xdr:cNvPicPr>
          <a:picLocks noChangeAspect="1"/>
        </xdr:cNvPicPr>
      </xdr:nvPicPr>
      <xdr:blipFill>
        <a:blip r:embed="rId7">
          <a:extLst/>
        </a:blip>
        <a:srcRect l="0" t="71218" r="0" b="15450"/>
        <a:stretch>
          <a:fillRect/>
        </a:stretch>
      </xdr:blipFill>
      <xdr:spPr>
        <a:xfrm>
          <a:off x="13024042" y="15948952"/>
          <a:ext cx="434571" cy="4183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688706</xdr:colOff>
      <xdr:row>17</xdr:row>
      <xdr:rowOff>98007</xdr:rowOff>
    </xdr:from>
    <xdr:to>
      <xdr:col>13</xdr:col>
      <xdr:colOff>1135784</xdr:colOff>
      <xdr:row>17</xdr:row>
      <xdr:rowOff>570331</xdr:rowOff>
    </xdr:to>
    <xdr:pic>
      <xdr:nvPicPr>
        <xdr:cNvPr id="201" name="Imagen 32" descr="Imagen 32"/>
        <xdr:cNvPicPr>
          <a:picLocks noChangeAspect="1"/>
        </xdr:cNvPicPr>
      </xdr:nvPicPr>
      <xdr:blipFill>
        <a:blip r:embed="rId8">
          <a:extLst/>
        </a:blip>
        <a:srcRect l="3328" t="0" r="0" b="86531"/>
        <a:stretch>
          <a:fillRect/>
        </a:stretch>
      </xdr:blipFill>
      <xdr:spPr>
        <a:xfrm>
          <a:off x="16703406" y="12423357"/>
          <a:ext cx="447079" cy="4723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694650</xdr:colOff>
      <xdr:row>18</xdr:row>
      <xdr:rowOff>10461</xdr:rowOff>
    </xdr:from>
    <xdr:to>
      <xdr:col>14</xdr:col>
      <xdr:colOff>11538</xdr:colOff>
      <xdr:row>18</xdr:row>
      <xdr:rowOff>568422</xdr:rowOff>
    </xdr:to>
    <xdr:pic>
      <xdr:nvPicPr>
        <xdr:cNvPr id="202" name="Imagen 33" descr="Imagen 33"/>
        <xdr:cNvPicPr>
          <a:picLocks noChangeAspect="1"/>
        </xdr:cNvPicPr>
      </xdr:nvPicPr>
      <xdr:blipFill>
        <a:blip r:embed="rId8">
          <a:extLst/>
        </a:blip>
        <a:srcRect l="0" t="16879" r="1232" b="66990"/>
        <a:stretch>
          <a:fillRect/>
        </a:stretch>
      </xdr:blipFill>
      <xdr:spPr>
        <a:xfrm>
          <a:off x="16709350" y="13031136"/>
          <a:ext cx="548789" cy="5579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14</xdr:col>
      <xdr:colOff>158750</xdr:colOff>
      <xdr:row>25</xdr:row>
      <xdr:rowOff>663410</xdr:rowOff>
    </xdr:from>
    <xdr:to>
      <xdr:col>16</xdr:col>
      <xdr:colOff>24694</xdr:colOff>
      <xdr:row>27</xdr:row>
      <xdr:rowOff>306802</xdr:rowOff>
    </xdr:to>
    <xdr:pic>
      <xdr:nvPicPr>
        <xdr:cNvPr id="203" name="Imagen 34" descr="Imagen 34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7405350" y="18551360"/>
          <a:ext cx="2329745" cy="10340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622451</xdr:colOff>
      <xdr:row>19</xdr:row>
      <xdr:rowOff>32379</xdr:rowOff>
    </xdr:from>
    <xdr:to>
      <xdr:col>8</xdr:col>
      <xdr:colOff>244</xdr:colOff>
      <xdr:row>19</xdr:row>
      <xdr:rowOff>624101</xdr:rowOff>
    </xdr:to>
    <xdr:pic>
      <xdr:nvPicPr>
        <xdr:cNvPr id="204" name="Imagen 36" descr="Imagen 36"/>
        <xdr:cNvPicPr>
          <a:picLocks noChangeAspect="1"/>
        </xdr:cNvPicPr>
      </xdr:nvPicPr>
      <xdr:blipFill>
        <a:blip r:embed="rId6">
          <a:extLst/>
        </a:blip>
        <a:srcRect l="1" t="50910" r="570" b="33484"/>
        <a:stretch>
          <a:fillRect/>
        </a:stretch>
      </xdr:blipFill>
      <xdr:spPr>
        <a:xfrm>
          <a:off x="9245751" y="13748379"/>
          <a:ext cx="609694" cy="59172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648609</xdr:colOff>
      <xdr:row>9</xdr:row>
      <xdr:rowOff>122581</xdr:rowOff>
    </xdr:from>
    <xdr:to>
      <xdr:col>5</xdr:col>
      <xdr:colOff>1123714</xdr:colOff>
      <xdr:row>9</xdr:row>
      <xdr:rowOff>575063</xdr:rowOff>
    </xdr:to>
    <xdr:sp>
      <xdr:nvSpPr>
        <xdr:cNvPr id="205" name="Rectangle 4"/>
        <xdr:cNvSpPr/>
      </xdr:nvSpPr>
      <xdr:spPr>
        <a:xfrm>
          <a:off x="6808109" y="6885331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659237</xdr:colOff>
      <xdr:row>10</xdr:row>
      <xdr:rowOff>145419</xdr:rowOff>
    </xdr:from>
    <xdr:to>
      <xdr:col>5</xdr:col>
      <xdr:colOff>1134342</xdr:colOff>
      <xdr:row>10</xdr:row>
      <xdr:rowOff>597901</xdr:rowOff>
    </xdr:to>
    <xdr:sp>
      <xdr:nvSpPr>
        <xdr:cNvPr id="206" name="Rectangle 4"/>
        <xdr:cNvSpPr/>
      </xdr:nvSpPr>
      <xdr:spPr>
        <a:xfrm>
          <a:off x="6818737" y="7603494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682294</xdr:colOff>
      <xdr:row>18</xdr:row>
      <xdr:rowOff>133751</xdr:rowOff>
    </xdr:from>
    <xdr:to>
      <xdr:col>6</xdr:col>
      <xdr:colOff>15467</xdr:colOff>
      <xdr:row>18</xdr:row>
      <xdr:rowOff>585811</xdr:rowOff>
    </xdr:to>
    <xdr:sp>
      <xdr:nvSpPr>
        <xdr:cNvPr id="207" name="Rectangle 4"/>
        <xdr:cNvSpPr/>
      </xdr:nvSpPr>
      <xdr:spPr>
        <a:xfrm>
          <a:off x="6841794" y="13154426"/>
          <a:ext cx="565074" cy="452061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683025</xdr:colOff>
      <xdr:row>19</xdr:row>
      <xdr:rowOff>108264</xdr:rowOff>
    </xdr:from>
    <xdr:to>
      <xdr:col>6</xdr:col>
      <xdr:colOff>16198</xdr:colOff>
      <xdr:row>19</xdr:row>
      <xdr:rowOff>560149</xdr:rowOff>
    </xdr:to>
    <xdr:sp>
      <xdr:nvSpPr>
        <xdr:cNvPr id="208" name="Rectangle 4"/>
        <xdr:cNvSpPr/>
      </xdr:nvSpPr>
      <xdr:spPr>
        <a:xfrm>
          <a:off x="6842525" y="13824264"/>
          <a:ext cx="565074" cy="451886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624155</xdr:colOff>
      <xdr:row>19</xdr:row>
      <xdr:rowOff>578026</xdr:rowOff>
    </xdr:from>
    <xdr:to>
      <xdr:col>7</xdr:col>
      <xdr:colOff>1225644</xdr:colOff>
      <xdr:row>20</xdr:row>
      <xdr:rowOff>613134</xdr:rowOff>
    </xdr:to>
    <xdr:pic>
      <xdr:nvPicPr>
        <xdr:cNvPr id="209" name="Imagen 41" descr="Imagen 41"/>
        <xdr:cNvPicPr>
          <a:picLocks noChangeAspect="1"/>
        </xdr:cNvPicPr>
      </xdr:nvPicPr>
      <xdr:blipFill>
        <a:blip r:embed="rId6">
          <a:extLst/>
        </a:blip>
        <a:srcRect l="0" t="64840" r="0" b="16097"/>
        <a:stretch>
          <a:fillRect/>
        </a:stretch>
      </xdr:blipFill>
      <xdr:spPr>
        <a:xfrm>
          <a:off x="9247455" y="14294026"/>
          <a:ext cx="601490" cy="7304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639992</xdr:colOff>
      <xdr:row>21</xdr:row>
      <xdr:rowOff>105076</xdr:rowOff>
    </xdr:from>
    <xdr:to>
      <xdr:col>7</xdr:col>
      <xdr:colOff>1220089</xdr:colOff>
      <xdr:row>21</xdr:row>
      <xdr:rowOff>588432</xdr:rowOff>
    </xdr:to>
    <xdr:pic>
      <xdr:nvPicPr>
        <xdr:cNvPr id="210" name="Imagen 42" descr="Imagen 42"/>
        <xdr:cNvPicPr>
          <a:picLocks noChangeAspect="1"/>
        </xdr:cNvPicPr>
      </xdr:nvPicPr>
      <xdr:blipFill>
        <a:blip r:embed="rId6">
          <a:extLst/>
        </a:blip>
        <a:srcRect l="0" t="87080" r="0" b="0"/>
        <a:stretch>
          <a:fillRect/>
        </a:stretch>
      </xdr:blipFill>
      <xdr:spPr>
        <a:xfrm>
          <a:off x="9263292" y="15211726"/>
          <a:ext cx="580098" cy="4833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628081</xdr:colOff>
      <xdr:row>18</xdr:row>
      <xdr:rowOff>61374</xdr:rowOff>
    </xdr:from>
    <xdr:to>
      <xdr:col>7</xdr:col>
      <xdr:colOff>1127206</xdr:colOff>
      <xdr:row>18</xdr:row>
      <xdr:rowOff>634054</xdr:rowOff>
    </xdr:to>
    <xdr:pic>
      <xdr:nvPicPr>
        <xdr:cNvPr id="211" name="Imagen 43" descr="Imagen 43"/>
        <xdr:cNvPicPr>
          <a:picLocks noChangeAspect="1"/>
        </xdr:cNvPicPr>
      </xdr:nvPicPr>
      <xdr:blipFill>
        <a:blip r:embed="rId6">
          <a:extLst/>
        </a:blip>
        <a:srcRect l="0" t="16132" r="0" b="68466"/>
        <a:stretch>
          <a:fillRect/>
        </a:stretch>
      </xdr:blipFill>
      <xdr:spPr>
        <a:xfrm>
          <a:off x="9251381" y="13082049"/>
          <a:ext cx="499126" cy="5726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629177</xdr:colOff>
      <xdr:row>17</xdr:row>
      <xdr:rowOff>126699</xdr:rowOff>
    </xdr:from>
    <xdr:to>
      <xdr:col>11</xdr:col>
      <xdr:colOff>6484</xdr:colOff>
      <xdr:row>17</xdr:row>
      <xdr:rowOff>642325</xdr:rowOff>
    </xdr:to>
    <xdr:pic>
      <xdr:nvPicPr>
        <xdr:cNvPr id="212" name="Imagen 44" descr="Imagen 44"/>
        <xdr:cNvPicPr>
          <a:picLocks noChangeAspect="1"/>
        </xdr:cNvPicPr>
      </xdr:nvPicPr>
      <xdr:blipFill>
        <a:blip r:embed="rId7">
          <a:extLst/>
        </a:blip>
        <a:srcRect l="0" t="363" r="0" b="85375"/>
        <a:stretch>
          <a:fillRect/>
        </a:stretch>
      </xdr:blipFill>
      <xdr:spPr>
        <a:xfrm>
          <a:off x="12948177" y="12452049"/>
          <a:ext cx="609208" cy="5156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674855</xdr:colOff>
      <xdr:row>20</xdr:row>
      <xdr:rowOff>90901</xdr:rowOff>
    </xdr:from>
    <xdr:to>
      <xdr:col>13</xdr:col>
      <xdr:colOff>1225894</xdr:colOff>
      <xdr:row>20</xdr:row>
      <xdr:rowOff>589551</xdr:rowOff>
    </xdr:to>
    <xdr:pic>
      <xdr:nvPicPr>
        <xdr:cNvPr id="213" name="Imagen 45" descr="Imagen 45"/>
        <xdr:cNvPicPr>
          <a:picLocks noChangeAspect="1"/>
        </xdr:cNvPicPr>
      </xdr:nvPicPr>
      <xdr:blipFill>
        <a:blip r:embed="rId8">
          <a:extLst/>
        </a:blip>
        <a:srcRect l="1" t="53840" r="0" b="31705"/>
        <a:stretch>
          <a:fillRect/>
        </a:stretch>
      </xdr:blipFill>
      <xdr:spPr>
        <a:xfrm>
          <a:off x="16689555" y="14502226"/>
          <a:ext cx="551040" cy="498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699099</xdr:colOff>
      <xdr:row>19</xdr:row>
      <xdr:rowOff>8654</xdr:rowOff>
    </xdr:from>
    <xdr:to>
      <xdr:col>14</xdr:col>
      <xdr:colOff>23515</xdr:colOff>
      <xdr:row>19</xdr:row>
      <xdr:rowOff>641348</xdr:rowOff>
    </xdr:to>
    <xdr:pic>
      <xdr:nvPicPr>
        <xdr:cNvPr id="214" name="Imagen 46" descr="Imagen 46"/>
        <xdr:cNvPicPr>
          <a:picLocks noChangeAspect="1"/>
        </xdr:cNvPicPr>
      </xdr:nvPicPr>
      <xdr:blipFill>
        <a:blip r:embed="rId8">
          <a:extLst/>
        </a:blip>
        <a:srcRect l="0" t="34868" r="0" b="46838"/>
        <a:stretch>
          <a:fillRect/>
        </a:stretch>
      </xdr:blipFill>
      <xdr:spPr>
        <a:xfrm>
          <a:off x="16713799" y="13724654"/>
          <a:ext cx="556317" cy="6326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683424</xdr:colOff>
      <xdr:row>22</xdr:row>
      <xdr:rowOff>84795</xdr:rowOff>
    </xdr:from>
    <xdr:to>
      <xdr:col>13</xdr:col>
      <xdr:colOff>1220035</xdr:colOff>
      <xdr:row>22</xdr:row>
      <xdr:rowOff>594171</xdr:rowOff>
    </xdr:to>
    <xdr:pic>
      <xdr:nvPicPr>
        <xdr:cNvPr id="215" name="Imagen 47" descr="Imagen 47"/>
        <xdr:cNvPicPr>
          <a:picLocks noChangeAspect="1"/>
        </xdr:cNvPicPr>
      </xdr:nvPicPr>
      <xdr:blipFill>
        <a:blip r:embed="rId8">
          <a:extLst/>
        </a:blip>
        <a:srcRect l="0" t="85234" r="0" b="0"/>
        <a:stretch>
          <a:fillRect/>
        </a:stretch>
      </xdr:blipFill>
      <xdr:spPr>
        <a:xfrm>
          <a:off x="16698124" y="15886770"/>
          <a:ext cx="536612" cy="5093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678696</xdr:colOff>
      <xdr:row>21</xdr:row>
      <xdr:rowOff>61099</xdr:rowOff>
    </xdr:from>
    <xdr:to>
      <xdr:col>13</xdr:col>
      <xdr:colOff>1228257</xdr:colOff>
      <xdr:row>21</xdr:row>
      <xdr:rowOff>637664</xdr:rowOff>
    </xdr:to>
    <xdr:pic>
      <xdr:nvPicPr>
        <xdr:cNvPr id="216" name="Imagen 48" descr="Imagen 48"/>
        <xdr:cNvPicPr>
          <a:picLocks noChangeAspect="1"/>
        </xdr:cNvPicPr>
      </xdr:nvPicPr>
      <xdr:blipFill>
        <a:blip r:embed="rId8">
          <a:extLst/>
        </a:blip>
        <a:srcRect l="0" t="67489" r="0" b="15797"/>
        <a:stretch>
          <a:fillRect/>
        </a:stretch>
      </xdr:blipFill>
      <xdr:spPr>
        <a:xfrm>
          <a:off x="16693396" y="15167749"/>
          <a:ext cx="549562" cy="5765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252158</xdr:colOff>
      <xdr:row>0</xdr:row>
      <xdr:rowOff>455813</xdr:rowOff>
    </xdr:from>
    <xdr:to>
      <xdr:col>1</xdr:col>
      <xdr:colOff>798689</xdr:colOff>
      <xdr:row>0</xdr:row>
      <xdr:rowOff>804322</xdr:rowOff>
    </xdr:to>
    <xdr:pic>
      <xdr:nvPicPr>
        <xdr:cNvPr id="218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2158" y="455813"/>
          <a:ext cx="1638731" cy="3485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315126</xdr:colOff>
      <xdr:row>0</xdr:row>
      <xdr:rowOff>20760</xdr:rowOff>
    </xdr:from>
    <xdr:to>
      <xdr:col>6</xdr:col>
      <xdr:colOff>783088</xdr:colOff>
      <xdr:row>0</xdr:row>
      <xdr:rowOff>1234721</xdr:rowOff>
    </xdr:to>
    <xdr:pic>
      <xdr:nvPicPr>
        <xdr:cNvPr id="219" name="Imagen 8" descr="Imagen 8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941226" y="20760"/>
          <a:ext cx="1560163" cy="12139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1016196</xdr:colOff>
      <xdr:row>2</xdr:row>
      <xdr:rowOff>121740</xdr:rowOff>
    </xdr:from>
    <xdr:to>
      <xdr:col>4</xdr:col>
      <xdr:colOff>589224</xdr:colOff>
      <xdr:row>8</xdr:row>
      <xdr:rowOff>235755</xdr:rowOff>
    </xdr:to>
    <xdr:pic>
      <xdr:nvPicPr>
        <xdr:cNvPr id="220" name="Imagen 9" descr="Imagen 9"/>
        <xdr:cNvPicPr>
          <a:picLocks noChangeAspect="1"/>
        </xdr:cNvPicPr>
      </xdr:nvPicPr>
      <xdr:blipFill>
        <a:blip r:embed="rId3">
          <a:extLst/>
        </a:blip>
        <a:srcRect l="0" t="13305" r="0" b="14345"/>
        <a:stretch>
          <a:fillRect/>
        </a:stretch>
      </xdr:blipFill>
      <xdr:spPr>
        <a:xfrm flipH="1" rot="16200000">
          <a:off x="2992015" y="3327521"/>
          <a:ext cx="3317591" cy="71602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46321</xdr:colOff>
      <xdr:row>14</xdr:row>
      <xdr:rowOff>406400</xdr:rowOff>
    </xdr:from>
    <xdr:to>
      <xdr:col>1</xdr:col>
      <xdr:colOff>931335</xdr:colOff>
      <xdr:row>16</xdr:row>
      <xdr:rowOff>23119</xdr:rowOff>
    </xdr:to>
    <xdr:pic>
      <xdr:nvPicPr>
        <xdr:cNvPr id="221" name="Imagen 10" descr="Imagen 10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138521" y="9016365"/>
          <a:ext cx="885015" cy="9051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91016</xdr:colOff>
      <xdr:row>19</xdr:row>
      <xdr:rowOff>232836</xdr:rowOff>
    </xdr:from>
    <xdr:to>
      <xdr:col>11</xdr:col>
      <xdr:colOff>1090089</xdr:colOff>
      <xdr:row>21</xdr:row>
      <xdr:rowOff>80005</xdr:rowOff>
    </xdr:to>
    <xdr:pic>
      <xdr:nvPicPr>
        <xdr:cNvPr id="222" name="Imagen 11" descr="Imagen 11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2295716" y="11881911"/>
          <a:ext cx="999074" cy="8784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82825</xdr:colOff>
      <xdr:row>0</xdr:row>
      <xdr:rowOff>348043</xdr:rowOff>
    </xdr:from>
    <xdr:to>
      <xdr:col>1</xdr:col>
      <xdr:colOff>21078</xdr:colOff>
      <xdr:row>0</xdr:row>
      <xdr:rowOff>596900</xdr:rowOff>
    </xdr:to>
    <xdr:pic>
      <xdr:nvPicPr>
        <xdr:cNvPr id="224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120924</xdr:colOff>
      <xdr:row>0</xdr:row>
      <xdr:rowOff>348043</xdr:rowOff>
    </xdr:from>
    <xdr:to>
      <xdr:col>1</xdr:col>
      <xdr:colOff>59178</xdr:colOff>
      <xdr:row>0</xdr:row>
      <xdr:rowOff>596900</xdr:rowOff>
    </xdr:to>
    <xdr:pic>
      <xdr:nvPicPr>
        <xdr:cNvPr id="225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20924" y="348043"/>
          <a:ext cx="1170155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803678</xdr:colOff>
      <xdr:row>0</xdr:row>
      <xdr:rowOff>187574</xdr:rowOff>
    </xdr:from>
    <xdr:to>
      <xdr:col>7</xdr:col>
      <xdr:colOff>222987</xdr:colOff>
      <xdr:row>0</xdr:row>
      <xdr:rowOff>848308</xdr:rowOff>
    </xdr:to>
    <xdr:pic>
      <xdr:nvPicPr>
        <xdr:cNvPr id="226" name="Picture 104" descr="Picture 104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8195078" y="187574"/>
          <a:ext cx="651210" cy="6607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459924</xdr:colOff>
      <xdr:row>7</xdr:row>
      <xdr:rowOff>674413</xdr:rowOff>
    </xdr:from>
    <xdr:to>
      <xdr:col>0</xdr:col>
      <xdr:colOff>1108751</xdr:colOff>
      <xdr:row>8</xdr:row>
      <xdr:rowOff>628674</xdr:rowOff>
    </xdr:to>
    <xdr:pic>
      <xdr:nvPicPr>
        <xdr:cNvPr id="227" name="Imagen 4" descr="Imagen 4"/>
        <xdr:cNvPicPr>
          <a:picLocks noChangeAspect="1"/>
        </xdr:cNvPicPr>
      </xdr:nvPicPr>
      <xdr:blipFill>
        <a:blip r:embed="rId3">
          <a:extLst/>
        </a:blip>
        <a:srcRect l="0" t="0" r="4356" b="75451"/>
        <a:stretch>
          <a:fillRect/>
        </a:stretch>
      </xdr:blipFill>
      <xdr:spPr>
        <a:xfrm>
          <a:off x="459924" y="6046513"/>
          <a:ext cx="648828" cy="6495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487660</xdr:colOff>
      <xdr:row>10</xdr:row>
      <xdr:rowOff>19921</xdr:rowOff>
    </xdr:from>
    <xdr:to>
      <xdr:col>0</xdr:col>
      <xdr:colOff>1137475</xdr:colOff>
      <xdr:row>10</xdr:row>
      <xdr:rowOff>687931</xdr:rowOff>
    </xdr:to>
    <xdr:pic>
      <xdr:nvPicPr>
        <xdr:cNvPr id="228" name="Imagen 5" descr="Imagen 5"/>
        <xdr:cNvPicPr>
          <a:picLocks noChangeAspect="1"/>
        </xdr:cNvPicPr>
      </xdr:nvPicPr>
      <xdr:blipFill>
        <a:blip r:embed="rId3">
          <a:extLst/>
        </a:blip>
        <a:srcRect l="0" t="74007" r="0" b="0"/>
        <a:stretch>
          <a:fillRect/>
        </a:stretch>
      </xdr:blipFill>
      <xdr:spPr>
        <a:xfrm>
          <a:off x="487660" y="7477996"/>
          <a:ext cx="649816" cy="6680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451782</xdr:colOff>
      <xdr:row>8</xdr:row>
      <xdr:rowOff>683346</xdr:rowOff>
    </xdr:from>
    <xdr:to>
      <xdr:col>1</xdr:col>
      <xdr:colOff>16720</xdr:colOff>
      <xdr:row>9</xdr:row>
      <xdr:rowOff>673776</xdr:rowOff>
    </xdr:to>
    <xdr:pic>
      <xdr:nvPicPr>
        <xdr:cNvPr id="229" name="Imagen 6" descr="Imagen 6"/>
        <xdr:cNvPicPr>
          <a:picLocks noChangeAspect="1"/>
        </xdr:cNvPicPr>
      </xdr:nvPicPr>
      <xdr:blipFill>
        <a:blip r:embed="rId3">
          <a:extLst/>
        </a:blip>
        <a:srcRect l="0" t="24549" r="0" b="50180"/>
        <a:stretch>
          <a:fillRect/>
        </a:stretch>
      </xdr:blipFill>
      <xdr:spPr>
        <a:xfrm>
          <a:off x="451782" y="6750771"/>
          <a:ext cx="796839" cy="6857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501494</xdr:colOff>
      <xdr:row>10</xdr:row>
      <xdr:rowOff>654535</xdr:rowOff>
    </xdr:from>
    <xdr:to>
      <xdr:col>7</xdr:col>
      <xdr:colOff>1088349</xdr:colOff>
      <xdr:row>11</xdr:row>
      <xdr:rowOff>607970</xdr:rowOff>
    </xdr:to>
    <xdr:pic>
      <xdr:nvPicPr>
        <xdr:cNvPr id="230" name="Imagen 7" descr="Imagen 7"/>
        <xdr:cNvPicPr>
          <a:picLocks noChangeAspect="1"/>
        </xdr:cNvPicPr>
      </xdr:nvPicPr>
      <xdr:blipFill>
        <a:blip r:embed="rId4">
          <a:extLst/>
        </a:blip>
        <a:srcRect l="12925" t="75693" r="0" b="0"/>
        <a:stretch>
          <a:fillRect/>
        </a:stretch>
      </xdr:blipFill>
      <xdr:spPr>
        <a:xfrm>
          <a:off x="9124794" y="8112610"/>
          <a:ext cx="586856" cy="648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493134</xdr:colOff>
      <xdr:row>8</xdr:row>
      <xdr:rowOff>32079</xdr:rowOff>
    </xdr:from>
    <xdr:to>
      <xdr:col>7</xdr:col>
      <xdr:colOff>1035050</xdr:colOff>
      <xdr:row>8</xdr:row>
      <xdr:rowOff>607618</xdr:rowOff>
    </xdr:to>
    <xdr:pic>
      <xdr:nvPicPr>
        <xdr:cNvPr id="231" name="Imagen 8" descr="Imagen 8"/>
        <xdr:cNvPicPr>
          <a:picLocks noChangeAspect="1"/>
        </xdr:cNvPicPr>
      </xdr:nvPicPr>
      <xdr:blipFill>
        <a:blip r:embed="rId4">
          <a:extLst/>
        </a:blip>
        <a:srcRect l="11564" t="0" r="0" b="75480"/>
        <a:stretch>
          <a:fillRect/>
        </a:stretch>
      </xdr:blipFill>
      <xdr:spPr>
        <a:xfrm>
          <a:off x="9116434" y="6099504"/>
          <a:ext cx="541916" cy="5755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471368</xdr:colOff>
      <xdr:row>9</xdr:row>
      <xdr:rowOff>5881</xdr:rowOff>
    </xdr:from>
    <xdr:to>
      <xdr:col>7</xdr:col>
      <xdr:colOff>1049867</xdr:colOff>
      <xdr:row>9</xdr:row>
      <xdr:rowOff>553587</xdr:rowOff>
    </xdr:to>
    <xdr:pic>
      <xdr:nvPicPr>
        <xdr:cNvPr id="232" name="Imagen 9" descr="Imagen 9"/>
        <xdr:cNvPicPr>
          <a:picLocks noChangeAspect="1"/>
        </xdr:cNvPicPr>
      </xdr:nvPicPr>
      <xdr:blipFill>
        <a:blip r:embed="rId4">
          <a:extLst/>
        </a:blip>
        <a:srcRect l="8163" t="27506" r="0" b="49466"/>
        <a:stretch>
          <a:fillRect/>
        </a:stretch>
      </xdr:blipFill>
      <xdr:spPr>
        <a:xfrm>
          <a:off x="9094668" y="6768631"/>
          <a:ext cx="578500" cy="5477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479407</xdr:colOff>
      <xdr:row>9</xdr:row>
      <xdr:rowOff>646610</xdr:rowOff>
    </xdr:from>
    <xdr:to>
      <xdr:col>7</xdr:col>
      <xdr:colOff>1057256</xdr:colOff>
      <xdr:row>10</xdr:row>
      <xdr:rowOff>539615</xdr:rowOff>
    </xdr:to>
    <xdr:pic>
      <xdr:nvPicPr>
        <xdr:cNvPr id="233" name="Imagen 10" descr="Imagen 10"/>
        <xdr:cNvPicPr>
          <a:picLocks noChangeAspect="1"/>
        </xdr:cNvPicPr>
      </xdr:nvPicPr>
      <xdr:blipFill>
        <a:blip r:embed="rId4">
          <a:extLst/>
        </a:blip>
        <a:srcRect l="10204" t="50746" r="0" b="25585"/>
        <a:stretch>
          <a:fillRect/>
        </a:stretch>
      </xdr:blipFill>
      <xdr:spPr>
        <a:xfrm>
          <a:off x="9102707" y="7409360"/>
          <a:ext cx="577850" cy="5883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657505</xdr:colOff>
      <xdr:row>8</xdr:row>
      <xdr:rowOff>112759</xdr:rowOff>
    </xdr:from>
    <xdr:to>
      <xdr:col>5</xdr:col>
      <xdr:colOff>1132611</xdr:colOff>
      <xdr:row>8</xdr:row>
      <xdr:rowOff>565240</xdr:rowOff>
    </xdr:to>
    <xdr:sp>
      <xdr:nvSpPr>
        <xdr:cNvPr id="234" name="Rectangle 4"/>
        <xdr:cNvSpPr/>
      </xdr:nvSpPr>
      <xdr:spPr>
        <a:xfrm>
          <a:off x="6817005" y="6180184"/>
          <a:ext cx="475107" cy="452482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698580</xdr:colOff>
      <xdr:row>8</xdr:row>
      <xdr:rowOff>123823</xdr:rowOff>
    </xdr:from>
    <xdr:to>
      <xdr:col>16</xdr:col>
      <xdr:colOff>34674</xdr:colOff>
      <xdr:row>8</xdr:row>
      <xdr:rowOff>575140</xdr:rowOff>
    </xdr:to>
    <xdr:sp>
      <xdr:nvSpPr>
        <xdr:cNvPr id="235" name="Rectangle 4"/>
        <xdr:cNvSpPr/>
      </xdr:nvSpPr>
      <xdr:spPr>
        <a:xfrm>
          <a:off x="19177080" y="6191248"/>
          <a:ext cx="56799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695318</xdr:colOff>
      <xdr:row>9</xdr:row>
      <xdr:rowOff>129029</xdr:rowOff>
    </xdr:from>
    <xdr:to>
      <xdr:col>16</xdr:col>
      <xdr:colOff>31411</xdr:colOff>
      <xdr:row>9</xdr:row>
      <xdr:rowOff>580346</xdr:rowOff>
    </xdr:to>
    <xdr:sp>
      <xdr:nvSpPr>
        <xdr:cNvPr id="236" name="Rectangle 4"/>
        <xdr:cNvSpPr/>
      </xdr:nvSpPr>
      <xdr:spPr>
        <a:xfrm>
          <a:off x="19173818" y="6891779"/>
          <a:ext cx="567994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693176</xdr:colOff>
      <xdr:row>10</xdr:row>
      <xdr:rowOff>116775</xdr:rowOff>
    </xdr:from>
    <xdr:to>
      <xdr:col>16</xdr:col>
      <xdr:colOff>31303</xdr:colOff>
      <xdr:row>10</xdr:row>
      <xdr:rowOff>568093</xdr:rowOff>
    </xdr:to>
    <xdr:sp>
      <xdr:nvSpPr>
        <xdr:cNvPr id="237" name="Rectangle 4"/>
        <xdr:cNvSpPr/>
      </xdr:nvSpPr>
      <xdr:spPr>
        <a:xfrm>
          <a:off x="19171676" y="7574850"/>
          <a:ext cx="570028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690205</xdr:colOff>
      <xdr:row>11</xdr:row>
      <xdr:rowOff>134991</xdr:rowOff>
    </xdr:from>
    <xdr:to>
      <xdr:col>16</xdr:col>
      <xdr:colOff>26299</xdr:colOff>
      <xdr:row>11</xdr:row>
      <xdr:rowOff>585740</xdr:rowOff>
    </xdr:to>
    <xdr:sp>
      <xdr:nvSpPr>
        <xdr:cNvPr id="238" name="Rectangle 4"/>
        <xdr:cNvSpPr/>
      </xdr:nvSpPr>
      <xdr:spPr>
        <a:xfrm>
          <a:off x="19168705" y="8288391"/>
          <a:ext cx="567995" cy="450750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189089</xdr:colOff>
      <xdr:row>4</xdr:row>
      <xdr:rowOff>67733</xdr:rowOff>
    </xdr:from>
    <xdr:to>
      <xdr:col>15</xdr:col>
      <xdr:colOff>866421</xdr:colOff>
      <xdr:row>4</xdr:row>
      <xdr:rowOff>81843</xdr:rowOff>
    </xdr:to>
    <xdr:sp>
      <xdr:nvSpPr>
        <xdr:cNvPr id="239" name="Conector recto 16"/>
        <xdr:cNvSpPr/>
      </xdr:nvSpPr>
      <xdr:spPr>
        <a:xfrm flipV="1">
          <a:off x="10044289" y="3353858"/>
          <a:ext cx="9300633" cy="14111"/>
        </a:xfrm>
        <a:prstGeom prst="line">
          <a:avLst/>
        </a:prstGeom>
        <a:noFill/>
        <a:ln w="19050" cap="flat">
          <a:solidFill>
            <a:srgbClr val="00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524886</xdr:colOff>
      <xdr:row>18</xdr:row>
      <xdr:rowOff>613279</xdr:rowOff>
    </xdr:from>
    <xdr:to>
      <xdr:col>0</xdr:col>
      <xdr:colOff>1108676</xdr:colOff>
      <xdr:row>19</xdr:row>
      <xdr:rowOff>502936</xdr:rowOff>
    </xdr:to>
    <xdr:pic>
      <xdr:nvPicPr>
        <xdr:cNvPr id="240" name="Imagen 17" descr="Imagen 17"/>
        <xdr:cNvPicPr>
          <a:picLocks noChangeAspect="1"/>
        </xdr:cNvPicPr>
      </xdr:nvPicPr>
      <xdr:blipFill>
        <a:blip r:embed="rId5">
          <a:extLst/>
        </a:blip>
        <a:srcRect l="0" t="81929" r="0" b="0"/>
        <a:stretch>
          <a:fillRect/>
        </a:stretch>
      </xdr:blipFill>
      <xdr:spPr>
        <a:xfrm>
          <a:off x="524885" y="13633954"/>
          <a:ext cx="583792" cy="58498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494816</xdr:colOff>
      <xdr:row>15</xdr:row>
      <xdr:rowOff>1812</xdr:rowOff>
    </xdr:from>
    <xdr:to>
      <xdr:col>0</xdr:col>
      <xdr:colOff>1097569</xdr:colOff>
      <xdr:row>15</xdr:row>
      <xdr:rowOff>542325</xdr:rowOff>
    </xdr:to>
    <xdr:pic>
      <xdr:nvPicPr>
        <xdr:cNvPr id="241" name="Imagen 18" descr="Imagen 18"/>
        <xdr:cNvPicPr>
          <a:picLocks noChangeAspect="1"/>
        </xdr:cNvPicPr>
      </xdr:nvPicPr>
      <xdr:blipFill>
        <a:blip r:embed="rId5">
          <a:extLst/>
        </a:blip>
        <a:srcRect l="0" t="0" r="0" b="83184"/>
        <a:stretch>
          <a:fillRect/>
        </a:stretch>
      </xdr:blipFill>
      <xdr:spPr>
        <a:xfrm>
          <a:off x="494816" y="10936512"/>
          <a:ext cx="602753" cy="54051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503165</xdr:colOff>
      <xdr:row>15</xdr:row>
      <xdr:rowOff>630738</xdr:rowOff>
    </xdr:from>
    <xdr:to>
      <xdr:col>0</xdr:col>
      <xdr:colOff>1085261</xdr:colOff>
      <xdr:row>16</xdr:row>
      <xdr:rowOff>493196</xdr:rowOff>
    </xdr:to>
    <xdr:pic>
      <xdr:nvPicPr>
        <xdr:cNvPr id="242" name="Imagen 19" descr="Imagen 19"/>
        <xdr:cNvPicPr>
          <a:picLocks noChangeAspect="1"/>
        </xdr:cNvPicPr>
      </xdr:nvPicPr>
      <xdr:blipFill>
        <a:blip r:embed="rId5">
          <a:extLst/>
        </a:blip>
        <a:srcRect l="0" t="22860" r="0" b="59903"/>
        <a:stretch>
          <a:fillRect/>
        </a:stretch>
      </xdr:blipFill>
      <xdr:spPr>
        <a:xfrm>
          <a:off x="503165" y="11565438"/>
          <a:ext cx="582096" cy="5577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506027</xdr:colOff>
      <xdr:row>16</xdr:row>
      <xdr:rowOff>617714</xdr:rowOff>
    </xdr:from>
    <xdr:to>
      <xdr:col>0</xdr:col>
      <xdr:colOff>1097508</xdr:colOff>
      <xdr:row>17</xdr:row>
      <xdr:rowOff>463842</xdr:rowOff>
    </xdr:to>
    <xdr:pic>
      <xdr:nvPicPr>
        <xdr:cNvPr id="243" name="Imagen 20" descr="Imagen 20"/>
        <xdr:cNvPicPr>
          <a:picLocks noChangeAspect="1"/>
        </xdr:cNvPicPr>
      </xdr:nvPicPr>
      <xdr:blipFill>
        <a:blip r:embed="rId5">
          <a:extLst/>
        </a:blip>
        <a:srcRect l="0" t="44349" r="0" b="39086"/>
        <a:stretch>
          <a:fillRect/>
        </a:stretch>
      </xdr:blipFill>
      <xdr:spPr>
        <a:xfrm>
          <a:off x="506027" y="12247739"/>
          <a:ext cx="591482" cy="5414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524011</xdr:colOff>
      <xdr:row>17</xdr:row>
      <xdr:rowOff>636461</xdr:rowOff>
    </xdr:from>
    <xdr:to>
      <xdr:col>0</xdr:col>
      <xdr:colOff>1107801</xdr:colOff>
      <xdr:row>18</xdr:row>
      <xdr:rowOff>477027</xdr:rowOff>
    </xdr:to>
    <xdr:pic>
      <xdr:nvPicPr>
        <xdr:cNvPr id="244" name="Imagen 21" descr="Imagen 21"/>
        <xdr:cNvPicPr>
          <a:picLocks noChangeAspect="1"/>
        </xdr:cNvPicPr>
      </xdr:nvPicPr>
      <xdr:blipFill>
        <a:blip r:embed="rId5">
          <a:extLst/>
        </a:blip>
        <a:srcRect l="0" t="63599" r="0" b="19835"/>
        <a:stretch>
          <a:fillRect/>
        </a:stretch>
      </xdr:blipFill>
      <xdr:spPr>
        <a:xfrm>
          <a:off x="524010" y="12961811"/>
          <a:ext cx="583791" cy="5358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682181</xdr:colOff>
      <xdr:row>16</xdr:row>
      <xdr:rowOff>212070</xdr:rowOff>
    </xdr:from>
    <xdr:to>
      <xdr:col>6</xdr:col>
      <xdr:colOff>15354</xdr:colOff>
      <xdr:row>16</xdr:row>
      <xdr:rowOff>663388</xdr:rowOff>
    </xdr:to>
    <xdr:sp>
      <xdr:nvSpPr>
        <xdr:cNvPr id="245" name="Rectangle 4"/>
        <xdr:cNvSpPr/>
      </xdr:nvSpPr>
      <xdr:spPr>
        <a:xfrm>
          <a:off x="6841681" y="11842095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690312</xdr:colOff>
      <xdr:row>17</xdr:row>
      <xdr:rowOff>201107</xdr:rowOff>
    </xdr:from>
    <xdr:to>
      <xdr:col>6</xdr:col>
      <xdr:colOff>23485</xdr:colOff>
      <xdr:row>17</xdr:row>
      <xdr:rowOff>652425</xdr:rowOff>
    </xdr:to>
    <xdr:sp>
      <xdr:nvSpPr>
        <xdr:cNvPr id="246" name="Rectangle 4"/>
        <xdr:cNvSpPr/>
      </xdr:nvSpPr>
      <xdr:spPr>
        <a:xfrm>
          <a:off x="6849812" y="12526457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688155</xdr:colOff>
      <xdr:row>15</xdr:row>
      <xdr:rowOff>218750</xdr:rowOff>
    </xdr:from>
    <xdr:to>
      <xdr:col>6</xdr:col>
      <xdr:colOff>18179</xdr:colOff>
      <xdr:row>15</xdr:row>
      <xdr:rowOff>670067</xdr:rowOff>
    </xdr:to>
    <xdr:sp>
      <xdr:nvSpPr>
        <xdr:cNvPr id="247" name="Rectangle 4"/>
        <xdr:cNvSpPr/>
      </xdr:nvSpPr>
      <xdr:spPr>
        <a:xfrm>
          <a:off x="6847655" y="11153450"/>
          <a:ext cx="56192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603959</xdr:colOff>
      <xdr:row>17</xdr:row>
      <xdr:rowOff>127300</xdr:rowOff>
    </xdr:from>
    <xdr:to>
      <xdr:col>7</xdr:col>
      <xdr:colOff>1103013</xdr:colOff>
      <xdr:row>18</xdr:row>
      <xdr:rowOff>16233</xdr:rowOff>
    </xdr:to>
    <xdr:pic>
      <xdr:nvPicPr>
        <xdr:cNvPr id="248" name="Imagen 25" descr="Imagen 25"/>
        <xdr:cNvPicPr>
          <a:picLocks noChangeAspect="1"/>
        </xdr:cNvPicPr>
      </xdr:nvPicPr>
      <xdr:blipFill>
        <a:blip r:embed="rId6">
          <a:extLst/>
        </a:blip>
        <a:srcRect l="0" t="428" r="0" b="83905"/>
        <a:stretch>
          <a:fillRect/>
        </a:stretch>
      </xdr:blipFill>
      <xdr:spPr>
        <a:xfrm>
          <a:off x="9227259" y="12452650"/>
          <a:ext cx="499055" cy="5842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637708</xdr:colOff>
      <xdr:row>18</xdr:row>
      <xdr:rowOff>97342</xdr:rowOff>
    </xdr:from>
    <xdr:to>
      <xdr:col>11</xdr:col>
      <xdr:colOff>4232</xdr:colOff>
      <xdr:row>18</xdr:row>
      <xdr:rowOff>607102</xdr:rowOff>
    </xdr:to>
    <xdr:pic>
      <xdr:nvPicPr>
        <xdr:cNvPr id="249" name="Imagen 26" descr="Imagen 26"/>
        <xdr:cNvPicPr>
          <a:picLocks noChangeAspect="1"/>
        </xdr:cNvPicPr>
      </xdr:nvPicPr>
      <xdr:blipFill>
        <a:blip r:embed="rId7">
          <a:extLst/>
        </a:blip>
        <a:srcRect l="0" t="14319" r="108" b="71356"/>
        <a:stretch>
          <a:fillRect/>
        </a:stretch>
      </xdr:blipFill>
      <xdr:spPr>
        <a:xfrm>
          <a:off x="12956708" y="13118017"/>
          <a:ext cx="598425" cy="509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672327</xdr:colOff>
      <xdr:row>19</xdr:row>
      <xdr:rowOff>133754</xdr:rowOff>
    </xdr:from>
    <xdr:to>
      <xdr:col>11</xdr:col>
      <xdr:colOff>4232</xdr:colOff>
      <xdr:row>19</xdr:row>
      <xdr:rowOff>582724</xdr:rowOff>
    </xdr:to>
    <xdr:pic>
      <xdr:nvPicPr>
        <xdr:cNvPr id="250" name="Imagen 27" descr="Imagen 27"/>
        <xdr:cNvPicPr>
          <a:picLocks noChangeAspect="1"/>
        </xdr:cNvPicPr>
      </xdr:nvPicPr>
      <xdr:blipFill>
        <a:blip r:embed="rId7">
          <a:extLst/>
        </a:blip>
        <a:srcRect l="0" t="30153" r="0" b="56434"/>
        <a:stretch>
          <a:fillRect/>
        </a:stretch>
      </xdr:blipFill>
      <xdr:spPr>
        <a:xfrm>
          <a:off x="12991327" y="13849754"/>
          <a:ext cx="563806" cy="4489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709972</xdr:colOff>
      <xdr:row>23</xdr:row>
      <xdr:rowOff>161703</xdr:rowOff>
    </xdr:from>
    <xdr:to>
      <xdr:col>11</xdr:col>
      <xdr:colOff>2539</xdr:colOff>
      <xdr:row>23</xdr:row>
      <xdr:rowOff>579868</xdr:rowOff>
    </xdr:to>
    <xdr:pic>
      <xdr:nvPicPr>
        <xdr:cNvPr id="251" name="Imagen 28" descr="Imagen 28"/>
        <xdr:cNvPicPr>
          <a:picLocks noChangeAspect="1"/>
        </xdr:cNvPicPr>
      </xdr:nvPicPr>
      <xdr:blipFill>
        <a:blip r:embed="rId7">
          <a:extLst/>
        </a:blip>
        <a:srcRect l="0" t="86677" r="0" b="0"/>
        <a:stretch>
          <a:fillRect/>
        </a:stretch>
      </xdr:blipFill>
      <xdr:spPr>
        <a:xfrm>
          <a:off x="13028972" y="16659003"/>
          <a:ext cx="524468" cy="4181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660531</xdr:colOff>
      <xdr:row>20</xdr:row>
      <xdr:rowOff>131232</xdr:rowOff>
    </xdr:from>
    <xdr:to>
      <xdr:col>10</xdr:col>
      <xdr:colOff>1134532</xdr:colOff>
      <xdr:row>20</xdr:row>
      <xdr:rowOff>576794</xdr:rowOff>
    </xdr:to>
    <xdr:pic>
      <xdr:nvPicPr>
        <xdr:cNvPr id="252" name="Imagen 29" descr="Imagen 29"/>
        <xdr:cNvPicPr>
          <a:picLocks noChangeAspect="1"/>
        </xdr:cNvPicPr>
      </xdr:nvPicPr>
      <xdr:blipFill>
        <a:blip r:embed="rId7">
          <a:extLst/>
        </a:blip>
        <a:srcRect l="0" t="43629" r="0" b="42959"/>
        <a:stretch>
          <a:fillRect/>
        </a:stretch>
      </xdr:blipFill>
      <xdr:spPr>
        <a:xfrm>
          <a:off x="12979531" y="14542557"/>
          <a:ext cx="474002" cy="4455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668997</xdr:colOff>
      <xdr:row>21</xdr:row>
      <xdr:rowOff>97607</xdr:rowOff>
    </xdr:from>
    <xdr:to>
      <xdr:col>10</xdr:col>
      <xdr:colOff>1134533</xdr:colOff>
      <xdr:row>21</xdr:row>
      <xdr:rowOff>562115</xdr:rowOff>
    </xdr:to>
    <xdr:pic>
      <xdr:nvPicPr>
        <xdr:cNvPr id="253" name="Imagen 30" descr="Imagen 30"/>
        <xdr:cNvPicPr>
          <a:picLocks noChangeAspect="1"/>
        </xdr:cNvPicPr>
      </xdr:nvPicPr>
      <xdr:blipFill>
        <a:blip r:embed="rId7">
          <a:extLst/>
        </a:blip>
        <a:srcRect l="0" t="57722" r="0" b="29092"/>
        <a:stretch>
          <a:fillRect/>
        </a:stretch>
      </xdr:blipFill>
      <xdr:spPr>
        <a:xfrm>
          <a:off x="12987997" y="15204257"/>
          <a:ext cx="465537" cy="46450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705042</xdr:colOff>
      <xdr:row>22</xdr:row>
      <xdr:rowOff>146977</xdr:rowOff>
    </xdr:from>
    <xdr:to>
      <xdr:col>10</xdr:col>
      <xdr:colOff>1139612</xdr:colOff>
      <xdr:row>22</xdr:row>
      <xdr:rowOff>565363</xdr:rowOff>
    </xdr:to>
    <xdr:pic>
      <xdr:nvPicPr>
        <xdr:cNvPr id="254" name="Imagen 31" descr="Imagen 31"/>
        <xdr:cNvPicPr>
          <a:picLocks noChangeAspect="1"/>
        </xdr:cNvPicPr>
      </xdr:nvPicPr>
      <xdr:blipFill>
        <a:blip r:embed="rId7">
          <a:extLst/>
        </a:blip>
        <a:srcRect l="0" t="71218" r="0" b="15450"/>
        <a:stretch>
          <a:fillRect/>
        </a:stretch>
      </xdr:blipFill>
      <xdr:spPr>
        <a:xfrm>
          <a:off x="13024042" y="15948952"/>
          <a:ext cx="434571" cy="4183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688706</xdr:colOff>
      <xdr:row>17</xdr:row>
      <xdr:rowOff>98007</xdr:rowOff>
    </xdr:from>
    <xdr:to>
      <xdr:col>13</xdr:col>
      <xdr:colOff>1135784</xdr:colOff>
      <xdr:row>17</xdr:row>
      <xdr:rowOff>570331</xdr:rowOff>
    </xdr:to>
    <xdr:pic>
      <xdr:nvPicPr>
        <xdr:cNvPr id="255" name="Imagen 32" descr="Imagen 32"/>
        <xdr:cNvPicPr>
          <a:picLocks noChangeAspect="1"/>
        </xdr:cNvPicPr>
      </xdr:nvPicPr>
      <xdr:blipFill>
        <a:blip r:embed="rId8">
          <a:extLst/>
        </a:blip>
        <a:srcRect l="3328" t="0" r="0" b="86531"/>
        <a:stretch>
          <a:fillRect/>
        </a:stretch>
      </xdr:blipFill>
      <xdr:spPr>
        <a:xfrm>
          <a:off x="16703406" y="12423357"/>
          <a:ext cx="447079" cy="4723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694650</xdr:colOff>
      <xdr:row>18</xdr:row>
      <xdr:rowOff>10461</xdr:rowOff>
    </xdr:from>
    <xdr:to>
      <xdr:col>14</xdr:col>
      <xdr:colOff>11538</xdr:colOff>
      <xdr:row>18</xdr:row>
      <xdr:rowOff>568422</xdr:rowOff>
    </xdr:to>
    <xdr:pic>
      <xdr:nvPicPr>
        <xdr:cNvPr id="256" name="Imagen 33" descr="Imagen 33"/>
        <xdr:cNvPicPr>
          <a:picLocks noChangeAspect="1"/>
        </xdr:cNvPicPr>
      </xdr:nvPicPr>
      <xdr:blipFill>
        <a:blip r:embed="rId8">
          <a:extLst/>
        </a:blip>
        <a:srcRect l="0" t="16879" r="1232" b="66990"/>
        <a:stretch>
          <a:fillRect/>
        </a:stretch>
      </xdr:blipFill>
      <xdr:spPr>
        <a:xfrm>
          <a:off x="16709350" y="13031136"/>
          <a:ext cx="548789" cy="5579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14</xdr:col>
      <xdr:colOff>158750</xdr:colOff>
      <xdr:row>25</xdr:row>
      <xdr:rowOff>663410</xdr:rowOff>
    </xdr:from>
    <xdr:to>
      <xdr:col>16</xdr:col>
      <xdr:colOff>24694</xdr:colOff>
      <xdr:row>27</xdr:row>
      <xdr:rowOff>306802</xdr:rowOff>
    </xdr:to>
    <xdr:pic>
      <xdr:nvPicPr>
        <xdr:cNvPr id="257" name="Imagen 34" descr="Imagen 34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7405350" y="18551360"/>
          <a:ext cx="2329745" cy="10340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622451</xdr:colOff>
      <xdr:row>19</xdr:row>
      <xdr:rowOff>32379</xdr:rowOff>
    </xdr:from>
    <xdr:to>
      <xdr:col>8</xdr:col>
      <xdr:colOff>244</xdr:colOff>
      <xdr:row>19</xdr:row>
      <xdr:rowOff>624101</xdr:rowOff>
    </xdr:to>
    <xdr:pic>
      <xdr:nvPicPr>
        <xdr:cNvPr id="258" name="Imagen 36" descr="Imagen 36"/>
        <xdr:cNvPicPr>
          <a:picLocks noChangeAspect="1"/>
        </xdr:cNvPicPr>
      </xdr:nvPicPr>
      <xdr:blipFill>
        <a:blip r:embed="rId6">
          <a:extLst/>
        </a:blip>
        <a:srcRect l="1" t="50910" r="570" b="33484"/>
        <a:stretch>
          <a:fillRect/>
        </a:stretch>
      </xdr:blipFill>
      <xdr:spPr>
        <a:xfrm>
          <a:off x="9245751" y="13748379"/>
          <a:ext cx="609694" cy="59172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648609</xdr:colOff>
      <xdr:row>9</xdr:row>
      <xdr:rowOff>122581</xdr:rowOff>
    </xdr:from>
    <xdr:to>
      <xdr:col>5</xdr:col>
      <xdr:colOff>1123714</xdr:colOff>
      <xdr:row>9</xdr:row>
      <xdr:rowOff>575063</xdr:rowOff>
    </xdr:to>
    <xdr:sp>
      <xdr:nvSpPr>
        <xdr:cNvPr id="259" name="Rectangle 4"/>
        <xdr:cNvSpPr/>
      </xdr:nvSpPr>
      <xdr:spPr>
        <a:xfrm>
          <a:off x="6808109" y="6885331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659237</xdr:colOff>
      <xdr:row>10</xdr:row>
      <xdr:rowOff>145419</xdr:rowOff>
    </xdr:from>
    <xdr:to>
      <xdr:col>5</xdr:col>
      <xdr:colOff>1134342</xdr:colOff>
      <xdr:row>10</xdr:row>
      <xdr:rowOff>597901</xdr:rowOff>
    </xdr:to>
    <xdr:sp>
      <xdr:nvSpPr>
        <xdr:cNvPr id="260" name="Rectangle 4"/>
        <xdr:cNvSpPr/>
      </xdr:nvSpPr>
      <xdr:spPr>
        <a:xfrm>
          <a:off x="6818737" y="7603494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682294</xdr:colOff>
      <xdr:row>18</xdr:row>
      <xdr:rowOff>133751</xdr:rowOff>
    </xdr:from>
    <xdr:to>
      <xdr:col>6</xdr:col>
      <xdr:colOff>15467</xdr:colOff>
      <xdr:row>18</xdr:row>
      <xdr:rowOff>585811</xdr:rowOff>
    </xdr:to>
    <xdr:sp>
      <xdr:nvSpPr>
        <xdr:cNvPr id="261" name="Rectangle 4"/>
        <xdr:cNvSpPr/>
      </xdr:nvSpPr>
      <xdr:spPr>
        <a:xfrm>
          <a:off x="6841794" y="13154426"/>
          <a:ext cx="565074" cy="452061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683025</xdr:colOff>
      <xdr:row>19</xdr:row>
      <xdr:rowOff>108264</xdr:rowOff>
    </xdr:from>
    <xdr:to>
      <xdr:col>6</xdr:col>
      <xdr:colOff>16198</xdr:colOff>
      <xdr:row>19</xdr:row>
      <xdr:rowOff>560149</xdr:rowOff>
    </xdr:to>
    <xdr:sp>
      <xdr:nvSpPr>
        <xdr:cNvPr id="262" name="Rectangle 4"/>
        <xdr:cNvSpPr/>
      </xdr:nvSpPr>
      <xdr:spPr>
        <a:xfrm>
          <a:off x="6842525" y="13824264"/>
          <a:ext cx="565074" cy="451886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624155</xdr:colOff>
      <xdr:row>19</xdr:row>
      <xdr:rowOff>578026</xdr:rowOff>
    </xdr:from>
    <xdr:to>
      <xdr:col>7</xdr:col>
      <xdr:colOff>1225644</xdr:colOff>
      <xdr:row>20</xdr:row>
      <xdr:rowOff>613134</xdr:rowOff>
    </xdr:to>
    <xdr:pic>
      <xdr:nvPicPr>
        <xdr:cNvPr id="263" name="Imagen 41" descr="Imagen 41"/>
        <xdr:cNvPicPr>
          <a:picLocks noChangeAspect="1"/>
        </xdr:cNvPicPr>
      </xdr:nvPicPr>
      <xdr:blipFill>
        <a:blip r:embed="rId6">
          <a:extLst/>
        </a:blip>
        <a:srcRect l="0" t="64840" r="0" b="16097"/>
        <a:stretch>
          <a:fillRect/>
        </a:stretch>
      </xdr:blipFill>
      <xdr:spPr>
        <a:xfrm>
          <a:off x="9247455" y="14294026"/>
          <a:ext cx="601490" cy="7304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639992</xdr:colOff>
      <xdr:row>21</xdr:row>
      <xdr:rowOff>105076</xdr:rowOff>
    </xdr:from>
    <xdr:to>
      <xdr:col>7</xdr:col>
      <xdr:colOff>1220089</xdr:colOff>
      <xdr:row>21</xdr:row>
      <xdr:rowOff>588432</xdr:rowOff>
    </xdr:to>
    <xdr:pic>
      <xdr:nvPicPr>
        <xdr:cNvPr id="264" name="Imagen 42" descr="Imagen 42"/>
        <xdr:cNvPicPr>
          <a:picLocks noChangeAspect="1"/>
        </xdr:cNvPicPr>
      </xdr:nvPicPr>
      <xdr:blipFill>
        <a:blip r:embed="rId6">
          <a:extLst/>
        </a:blip>
        <a:srcRect l="0" t="87080" r="0" b="0"/>
        <a:stretch>
          <a:fillRect/>
        </a:stretch>
      </xdr:blipFill>
      <xdr:spPr>
        <a:xfrm>
          <a:off x="9263292" y="15211726"/>
          <a:ext cx="580098" cy="4833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628081</xdr:colOff>
      <xdr:row>18</xdr:row>
      <xdr:rowOff>61374</xdr:rowOff>
    </xdr:from>
    <xdr:to>
      <xdr:col>7</xdr:col>
      <xdr:colOff>1127206</xdr:colOff>
      <xdr:row>18</xdr:row>
      <xdr:rowOff>634054</xdr:rowOff>
    </xdr:to>
    <xdr:pic>
      <xdr:nvPicPr>
        <xdr:cNvPr id="265" name="Imagen 43" descr="Imagen 43"/>
        <xdr:cNvPicPr>
          <a:picLocks noChangeAspect="1"/>
        </xdr:cNvPicPr>
      </xdr:nvPicPr>
      <xdr:blipFill>
        <a:blip r:embed="rId6">
          <a:extLst/>
        </a:blip>
        <a:srcRect l="0" t="16132" r="0" b="68466"/>
        <a:stretch>
          <a:fillRect/>
        </a:stretch>
      </xdr:blipFill>
      <xdr:spPr>
        <a:xfrm>
          <a:off x="9251381" y="13082049"/>
          <a:ext cx="499126" cy="5726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629177</xdr:colOff>
      <xdr:row>17</xdr:row>
      <xdr:rowOff>126699</xdr:rowOff>
    </xdr:from>
    <xdr:to>
      <xdr:col>11</xdr:col>
      <xdr:colOff>6484</xdr:colOff>
      <xdr:row>17</xdr:row>
      <xdr:rowOff>642325</xdr:rowOff>
    </xdr:to>
    <xdr:pic>
      <xdr:nvPicPr>
        <xdr:cNvPr id="266" name="Imagen 44" descr="Imagen 44"/>
        <xdr:cNvPicPr>
          <a:picLocks noChangeAspect="1"/>
        </xdr:cNvPicPr>
      </xdr:nvPicPr>
      <xdr:blipFill>
        <a:blip r:embed="rId7">
          <a:extLst/>
        </a:blip>
        <a:srcRect l="0" t="363" r="0" b="85375"/>
        <a:stretch>
          <a:fillRect/>
        </a:stretch>
      </xdr:blipFill>
      <xdr:spPr>
        <a:xfrm>
          <a:off x="12948177" y="12452049"/>
          <a:ext cx="609208" cy="5156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674855</xdr:colOff>
      <xdr:row>20</xdr:row>
      <xdr:rowOff>90901</xdr:rowOff>
    </xdr:from>
    <xdr:to>
      <xdr:col>13</xdr:col>
      <xdr:colOff>1225894</xdr:colOff>
      <xdr:row>20</xdr:row>
      <xdr:rowOff>589551</xdr:rowOff>
    </xdr:to>
    <xdr:pic>
      <xdr:nvPicPr>
        <xdr:cNvPr id="267" name="Imagen 45" descr="Imagen 45"/>
        <xdr:cNvPicPr>
          <a:picLocks noChangeAspect="1"/>
        </xdr:cNvPicPr>
      </xdr:nvPicPr>
      <xdr:blipFill>
        <a:blip r:embed="rId8">
          <a:extLst/>
        </a:blip>
        <a:srcRect l="1" t="53840" r="0" b="31705"/>
        <a:stretch>
          <a:fillRect/>
        </a:stretch>
      </xdr:blipFill>
      <xdr:spPr>
        <a:xfrm>
          <a:off x="16689555" y="14502226"/>
          <a:ext cx="551040" cy="498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699099</xdr:colOff>
      <xdr:row>19</xdr:row>
      <xdr:rowOff>8654</xdr:rowOff>
    </xdr:from>
    <xdr:to>
      <xdr:col>14</xdr:col>
      <xdr:colOff>23515</xdr:colOff>
      <xdr:row>19</xdr:row>
      <xdr:rowOff>641348</xdr:rowOff>
    </xdr:to>
    <xdr:pic>
      <xdr:nvPicPr>
        <xdr:cNvPr id="268" name="Imagen 46" descr="Imagen 46"/>
        <xdr:cNvPicPr>
          <a:picLocks noChangeAspect="1"/>
        </xdr:cNvPicPr>
      </xdr:nvPicPr>
      <xdr:blipFill>
        <a:blip r:embed="rId8">
          <a:extLst/>
        </a:blip>
        <a:srcRect l="0" t="34868" r="0" b="46838"/>
        <a:stretch>
          <a:fillRect/>
        </a:stretch>
      </xdr:blipFill>
      <xdr:spPr>
        <a:xfrm>
          <a:off x="16713799" y="13724654"/>
          <a:ext cx="556317" cy="6326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683424</xdr:colOff>
      <xdr:row>22</xdr:row>
      <xdr:rowOff>84795</xdr:rowOff>
    </xdr:from>
    <xdr:to>
      <xdr:col>13</xdr:col>
      <xdr:colOff>1220035</xdr:colOff>
      <xdr:row>22</xdr:row>
      <xdr:rowOff>594171</xdr:rowOff>
    </xdr:to>
    <xdr:pic>
      <xdr:nvPicPr>
        <xdr:cNvPr id="269" name="Imagen 47" descr="Imagen 47"/>
        <xdr:cNvPicPr>
          <a:picLocks noChangeAspect="1"/>
        </xdr:cNvPicPr>
      </xdr:nvPicPr>
      <xdr:blipFill>
        <a:blip r:embed="rId8">
          <a:extLst/>
        </a:blip>
        <a:srcRect l="0" t="85234" r="0" b="0"/>
        <a:stretch>
          <a:fillRect/>
        </a:stretch>
      </xdr:blipFill>
      <xdr:spPr>
        <a:xfrm>
          <a:off x="16698124" y="15886770"/>
          <a:ext cx="536612" cy="5093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678696</xdr:colOff>
      <xdr:row>21</xdr:row>
      <xdr:rowOff>61099</xdr:rowOff>
    </xdr:from>
    <xdr:to>
      <xdr:col>13</xdr:col>
      <xdr:colOff>1228257</xdr:colOff>
      <xdr:row>21</xdr:row>
      <xdr:rowOff>637664</xdr:rowOff>
    </xdr:to>
    <xdr:pic>
      <xdr:nvPicPr>
        <xdr:cNvPr id="270" name="Imagen 48" descr="Imagen 48"/>
        <xdr:cNvPicPr>
          <a:picLocks noChangeAspect="1"/>
        </xdr:cNvPicPr>
      </xdr:nvPicPr>
      <xdr:blipFill>
        <a:blip r:embed="rId8">
          <a:extLst/>
        </a:blip>
        <a:srcRect l="0" t="67489" r="0" b="15797"/>
        <a:stretch>
          <a:fillRect/>
        </a:stretch>
      </xdr:blipFill>
      <xdr:spPr>
        <a:xfrm>
          <a:off x="16693396" y="15167749"/>
          <a:ext cx="549562" cy="5765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252158</xdr:colOff>
      <xdr:row>0</xdr:row>
      <xdr:rowOff>455813</xdr:rowOff>
    </xdr:from>
    <xdr:to>
      <xdr:col>1</xdr:col>
      <xdr:colOff>798689</xdr:colOff>
      <xdr:row>0</xdr:row>
      <xdr:rowOff>804322</xdr:rowOff>
    </xdr:to>
    <xdr:pic>
      <xdr:nvPicPr>
        <xdr:cNvPr id="27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2158" y="455813"/>
          <a:ext cx="1638731" cy="3485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315126</xdr:colOff>
      <xdr:row>0</xdr:row>
      <xdr:rowOff>20760</xdr:rowOff>
    </xdr:from>
    <xdr:to>
      <xdr:col>6</xdr:col>
      <xdr:colOff>783088</xdr:colOff>
      <xdr:row>0</xdr:row>
      <xdr:rowOff>1234721</xdr:rowOff>
    </xdr:to>
    <xdr:pic>
      <xdr:nvPicPr>
        <xdr:cNvPr id="273" name="Imagen 8" descr="Imagen 8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941226" y="20760"/>
          <a:ext cx="1560163" cy="12139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1016196</xdr:colOff>
      <xdr:row>2</xdr:row>
      <xdr:rowOff>121740</xdr:rowOff>
    </xdr:from>
    <xdr:to>
      <xdr:col>4</xdr:col>
      <xdr:colOff>589224</xdr:colOff>
      <xdr:row>8</xdr:row>
      <xdr:rowOff>235755</xdr:rowOff>
    </xdr:to>
    <xdr:pic>
      <xdr:nvPicPr>
        <xdr:cNvPr id="274" name="Imagen 9" descr="Imagen 9"/>
        <xdr:cNvPicPr>
          <a:picLocks noChangeAspect="1"/>
        </xdr:cNvPicPr>
      </xdr:nvPicPr>
      <xdr:blipFill>
        <a:blip r:embed="rId3">
          <a:extLst/>
        </a:blip>
        <a:srcRect l="0" t="13305" r="0" b="14345"/>
        <a:stretch>
          <a:fillRect/>
        </a:stretch>
      </xdr:blipFill>
      <xdr:spPr>
        <a:xfrm flipH="1" rot="16200000">
          <a:off x="2992015" y="3327521"/>
          <a:ext cx="3317591" cy="71602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46321</xdr:colOff>
      <xdr:row>14</xdr:row>
      <xdr:rowOff>406400</xdr:rowOff>
    </xdr:from>
    <xdr:to>
      <xdr:col>1</xdr:col>
      <xdr:colOff>931335</xdr:colOff>
      <xdr:row>16</xdr:row>
      <xdr:rowOff>23119</xdr:rowOff>
    </xdr:to>
    <xdr:pic>
      <xdr:nvPicPr>
        <xdr:cNvPr id="275" name="Imagen 10" descr="Imagen 10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138521" y="9016365"/>
          <a:ext cx="885015" cy="9051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91016</xdr:colOff>
      <xdr:row>19</xdr:row>
      <xdr:rowOff>232836</xdr:rowOff>
    </xdr:from>
    <xdr:to>
      <xdr:col>11</xdr:col>
      <xdr:colOff>1090089</xdr:colOff>
      <xdr:row>21</xdr:row>
      <xdr:rowOff>80005</xdr:rowOff>
    </xdr:to>
    <xdr:pic>
      <xdr:nvPicPr>
        <xdr:cNvPr id="276" name="Imagen 11" descr="Imagen 11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2295716" y="11881911"/>
          <a:ext cx="999074" cy="8784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82825</xdr:colOff>
      <xdr:row>0</xdr:row>
      <xdr:rowOff>348043</xdr:rowOff>
    </xdr:from>
    <xdr:to>
      <xdr:col>1</xdr:col>
      <xdr:colOff>21078</xdr:colOff>
      <xdr:row>0</xdr:row>
      <xdr:rowOff>596900</xdr:rowOff>
    </xdr:to>
    <xdr:pic>
      <xdr:nvPicPr>
        <xdr:cNvPr id="278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120924</xdr:colOff>
      <xdr:row>0</xdr:row>
      <xdr:rowOff>348043</xdr:rowOff>
    </xdr:from>
    <xdr:to>
      <xdr:col>1</xdr:col>
      <xdr:colOff>59178</xdr:colOff>
      <xdr:row>0</xdr:row>
      <xdr:rowOff>596900</xdr:rowOff>
    </xdr:to>
    <xdr:pic>
      <xdr:nvPicPr>
        <xdr:cNvPr id="279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20924" y="348043"/>
          <a:ext cx="1170155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803678</xdr:colOff>
      <xdr:row>0</xdr:row>
      <xdr:rowOff>187574</xdr:rowOff>
    </xdr:from>
    <xdr:to>
      <xdr:col>7</xdr:col>
      <xdr:colOff>222987</xdr:colOff>
      <xdr:row>0</xdr:row>
      <xdr:rowOff>848308</xdr:rowOff>
    </xdr:to>
    <xdr:pic>
      <xdr:nvPicPr>
        <xdr:cNvPr id="280" name="Picture 104" descr="Picture 104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8195078" y="187574"/>
          <a:ext cx="651210" cy="6607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459924</xdr:colOff>
      <xdr:row>7</xdr:row>
      <xdr:rowOff>674413</xdr:rowOff>
    </xdr:from>
    <xdr:to>
      <xdr:col>0</xdr:col>
      <xdr:colOff>1108751</xdr:colOff>
      <xdr:row>8</xdr:row>
      <xdr:rowOff>628674</xdr:rowOff>
    </xdr:to>
    <xdr:pic>
      <xdr:nvPicPr>
        <xdr:cNvPr id="281" name="Imagen 4" descr="Imagen 4"/>
        <xdr:cNvPicPr>
          <a:picLocks noChangeAspect="1"/>
        </xdr:cNvPicPr>
      </xdr:nvPicPr>
      <xdr:blipFill>
        <a:blip r:embed="rId3">
          <a:extLst/>
        </a:blip>
        <a:srcRect l="0" t="0" r="4356" b="75451"/>
        <a:stretch>
          <a:fillRect/>
        </a:stretch>
      </xdr:blipFill>
      <xdr:spPr>
        <a:xfrm>
          <a:off x="459924" y="6046513"/>
          <a:ext cx="648828" cy="6495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487660</xdr:colOff>
      <xdr:row>10</xdr:row>
      <xdr:rowOff>19921</xdr:rowOff>
    </xdr:from>
    <xdr:to>
      <xdr:col>0</xdr:col>
      <xdr:colOff>1137475</xdr:colOff>
      <xdr:row>10</xdr:row>
      <xdr:rowOff>687931</xdr:rowOff>
    </xdr:to>
    <xdr:pic>
      <xdr:nvPicPr>
        <xdr:cNvPr id="282" name="Imagen 5" descr="Imagen 5"/>
        <xdr:cNvPicPr>
          <a:picLocks noChangeAspect="1"/>
        </xdr:cNvPicPr>
      </xdr:nvPicPr>
      <xdr:blipFill>
        <a:blip r:embed="rId3">
          <a:extLst/>
        </a:blip>
        <a:srcRect l="0" t="74007" r="0" b="0"/>
        <a:stretch>
          <a:fillRect/>
        </a:stretch>
      </xdr:blipFill>
      <xdr:spPr>
        <a:xfrm>
          <a:off x="487660" y="7477996"/>
          <a:ext cx="649816" cy="6680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451782</xdr:colOff>
      <xdr:row>8</xdr:row>
      <xdr:rowOff>683346</xdr:rowOff>
    </xdr:from>
    <xdr:to>
      <xdr:col>1</xdr:col>
      <xdr:colOff>16720</xdr:colOff>
      <xdr:row>9</xdr:row>
      <xdr:rowOff>673776</xdr:rowOff>
    </xdr:to>
    <xdr:pic>
      <xdr:nvPicPr>
        <xdr:cNvPr id="283" name="Imagen 6" descr="Imagen 6"/>
        <xdr:cNvPicPr>
          <a:picLocks noChangeAspect="1"/>
        </xdr:cNvPicPr>
      </xdr:nvPicPr>
      <xdr:blipFill>
        <a:blip r:embed="rId3">
          <a:extLst/>
        </a:blip>
        <a:srcRect l="0" t="24549" r="0" b="50180"/>
        <a:stretch>
          <a:fillRect/>
        </a:stretch>
      </xdr:blipFill>
      <xdr:spPr>
        <a:xfrm>
          <a:off x="451782" y="6750771"/>
          <a:ext cx="796839" cy="6857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501494</xdr:colOff>
      <xdr:row>10</xdr:row>
      <xdr:rowOff>654535</xdr:rowOff>
    </xdr:from>
    <xdr:to>
      <xdr:col>7</xdr:col>
      <xdr:colOff>1088349</xdr:colOff>
      <xdr:row>11</xdr:row>
      <xdr:rowOff>607970</xdr:rowOff>
    </xdr:to>
    <xdr:pic>
      <xdr:nvPicPr>
        <xdr:cNvPr id="284" name="Imagen 7" descr="Imagen 7"/>
        <xdr:cNvPicPr>
          <a:picLocks noChangeAspect="1"/>
        </xdr:cNvPicPr>
      </xdr:nvPicPr>
      <xdr:blipFill>
        <a:blip r:embed="rId4">
          <a:extLst/>
        </a:blip>
        <a:srcRect l="12925" t="75693" r="0" b="0"/>
        <a:stretch>
          <a:fillRect/>
        </a:stretch>
      </xdr:blipFill>
      <xdr:spPr>
        <a:xfrm>
          <a:off x="9124794" y="8112610"/>
          <a:ext cx="586856" cy="648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493134</xdr:colOff>
      <xdr:row>8</xdr:row>
      <xdr:rowOff>32079</xdr:rowOff>
    </xdr:from>
    <xdr:to>
      <xdr:col>7</xdr:col>
      <xdr:colOff>1035050</xdr:colOff>
      <xdr:row>8</xdr:row>
      <xdr:rowOff>607618</xdr:rowOff>
    </xdr:to>
    <xdr:pic>
      <xdr:nvPicPr>
        <xdr:cNvPr id="285" name="Imagen 8" descr="Imagen 8"/>
        <xdr:cNvPicPr>
          <a:picLocks noChangeAspect="1"/>
        </xdr:cNvPicPr>
      </xdr:nvPicPr>
      <xdr:blipFill>
        <a:blip r:embed="rId4">
          <a:extLst/>
        </a:blip>
        <a:srcRect l="11564" t="0" r="0" b="75480"/>
        <a:stretch>
          <a:fillRect/>
        </a:stretch>
      </xdr:blipFill>
      <xdr:spPr>
        <a:xfrm>
          <a:off x="9116434" y="6099504"/>
          <a:ext cx="541916" cy="5755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471368</xdr:colOff>
      <xdr:row>9</xdr:row>
      <xdr:rowOff>5881</xdr:rowOff>
    </xdr:from>
    <xdr:to>
      <xdr:col>7</xdr:col>
      <xdr:colOff>1049867</xdr:colOff>
      <xdr:row>9</xdr:row>
      <xdr:rowOff>553587</xdr:rowOff>
    </xdr:to>
    <xdr:pic>
      <xdr:nvPicPr>
        <xdr:cNvPr id="286" name="Imagen 9" descr="Imagen 9"/>
        <xdr:cNvPicPr>
          <a:picLocks noChangeAspect="1"/>
        </xdr:cNvPicPr>
      </xdr:nvPicPr>
      <xdr:blipFill>
        <a:blip r:embed="rId4">
          <a:extLst/>
        </a:blip>
        <a:srcRect l="8163" t="27506" r="0" b="49466"/>
        <a:stretch>
          <a:fillRect/>
        </a:stretch>
      </xdr:blipFill>
      <xdr:spPr>
        <a:xfrm>
          <a:off x="9094668" y="6768631"/>
          <a:ext cx="578500" cy="5477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479407</xdr:colOff>
      <xdr:row>9</xdr:row>
      <xdr:rowOff>646610</xdr:rowOff>
    </xdr:from>
    <xdr:to>
      <xdr:col>7</xdr:col>
      <xdr:colOff>1057256</xdr:colOff>
      <xdr:row>10</xdr:row>
      <xdr:rowOff>539615</xdr:rowOff>
    </xdr:to>
    <xdr:pic>
      <xdr:nvPicPr>
        <xdr:cNvPr id="287" name="Imagen 10" descr="Imagen 10"/>
        <xdr:cNvPicPr>
          <a:picLocks noChangeAspect="1"/>
        </xdr:cNvPicPr>
      </xdr:nvPicPr>
      <xdr:blipFill>
        <a:blip r:embed="rId4">
          <a:extLst/>
        </a:blip>
        <a:srcRect l="10204" t="50746" r="0" b="25585"/>
        <a:stretch>
          <a:fillRect/>
        </a:stretch>
      </xdr:blipFill>
      <xdr:spPr>
        <a:xfrm>
          <a:off x="9102707" y="7409360"/>
          <a:ext cx="577850" cy="5883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657505</xdr:colOff>
      <xdr:row>8</xdr:row>
      <xdr:rowOff>112759</xdr:rowOff>
    </xdr:from>
    <xdr:to>
      <xdr:col>5</xdr:col>
      <xdr:colOff>1132611</xdr:colOff>
      <xdr:row>8</xdr:row>
      <xdr:rowOff>565240</xdr:rowOff>
    </xdr:to>
    <xdr:sp>
      <xdr:nvSpPr>
        <xdr:cNvPr id="288" name="Rectangle 4"/>
        <xdr:cNvSpPr/>
      </xdr:nvSpPr>
      <xdr:spPr>
        <a:xfrm>
          <a:off x="6817005" y="6180184"/>
          <a:ext cx="475107" cy="452482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698580</xdr:colOff>
      <xdr:row>8</xdr:row>
      <xdr:rowOff>123823</xdr:rowOff>
    </xdr:from>
    <xdr:to>
      <xdr:col>16</xdr:col>
      <xdr:colOff>34674</xdr:colOff>
      <xdr:row>8</xdr:row>
      <xdr:rowOff>575140</xdr:rowOff>
    </xdr:to>
    <xdr:sp>
      <xdr:nvSpPr>
        <xdr:cNvPr id="289" name="Rectangle 4"/>
        <xdr:cNvSpPr/>
      </xdr:nvSpPr>
      <xdr:spPr>
        <a:xfrm>
          <a:off x="19177080" y="6191248"/>
          <a:ext cx="56799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695318</xdr:colOff>
      <xdr:row>9</xdr:row>
      <xdr:rowOff>129029</xdr:rowOff>
    </xdr:from>
    <xdr:to>
      <xdr:col>16</xdr:col>
      <xdr:colOff>31411</xdr:colOff>
      <xdr:row>9</xdr:row>
      <xdr:rowOff>580346</xdr:rowOff>
    </xdr:to>
    <xdr:sp>
      <xdr:nvSpPr>
        <xdr:cNvPr id="290" name="Rectangle 4"/>
        <xdr:cNvSpPr/>
      </xdr:nvSpPr>
      <xdr:spPr>
        <a:xfrm>
          <a:off x="19173818" y="6891779"/>
          <a:ext cx="567994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693176</xdr:colOff>
      <xdr:row>10</xdr:row>
      <xdr:rowOff>116775</xdr:rowOff>
    </xdr:from>
    <xdr:to>
      <xdr:col>16</xdr:col>
      <xdr:colOff>31303</xdr:colOff>
      <xdr:row>10</xdr:row>
      <xdr:rowOff>568093</xdr:rowOff>
    </xdr:to>
    <xdr:sp>
      <xdr:nvSpPr>
        <xdr:cNvPr id="291" name="Rectangle 4"/>
        <xdr:cNvSpPr/>
      </xdr:nvSpPr>
      <xdr:spPr>
        <a:xfrm>
          <a:off x="19171676" y="7574850"/>
          <a:ext cx="570028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690205</xdr:colOff>
      <xdr:row>11</xdr:row>
      <xdr:rowOff>134991</xdr:rowOff>
    </xdr:from>
    <xdr:to>
      <xdr:col>16</xdr:col>
      <xdr:colOff>26299</xdr:colOff>
      <xdr:row>11</xdr:row>
      <xdr:rowOff>585740</xdr:rowOff>
    </xdr:to>
    <xdr:sp>
      <xdr:nvSpPr>
        <xdr:cNvPr id="292" name="Rectangle 4"/>
        <xdr:cNvSpPr/>
      </xdr:nvSpPr>
      <xdr:spPr>
        <a:xfrm>
          <a:off x="19168705" y="8288391"/>
          <a:ext cx="567995" cy="450750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189089</xdr:colOff>
      <xdr:row>4</xdr:row>
      <xdr:rowOff>67733</xdr:rowOff>
    </xdr:from>
    <xdr:to>
      <xdr:col>15</xdr:col>
      <xdr:colOff>866421</xdr:colOff>
      <xdr:row>4</xdr:row>
      <xdr:rowOff>81843</xdr:rowOff>
    </xdr:to>
    <xdr:sp>
      <xdr:nvSpPr>
        <xdr:cNvPr id="293" name="Conector recto 16"/>
        <xdr:cNvSpPr/>
      </xdr:nvSpPr>
      <xdr:spPr>
        <a:xfrm flipV="1">
          <a:off x="10044289" y="3353858"/>
          <a:ext cx="9300633" cy="14111"/>
        </a:xfrm>
        <a:prstGeom prst="line">
          <a:avLst/>
        </a:prstGeom>
        <a:noFill/>
        <a:ln w="19050" cap="flat">
          <a:solidFill>
            <a:srgbClr val="00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524886</xdr:colOff>
      <xdr:row>18</xdr:row>
      <xdr:rowOff>613279</xdr:rowOff>
    </xdr:from>
    <xdr:to>
      <xdr:col>0</xdr:col>
      <xdr:colOff>1108676</xdr:colOff>
      <xdr:row>19</xdr:row>
      <xdr:rowOff>502936</xdr:rowOff>
    </xdr:to>
    <xdr:pic>
      <xdr:nvPicPr>
        <xdr:cNvPr id="294" name="Imagen 17" descr="Imagen 17"/>
        <xdr:cNvPicPr>
          <a:picLocks noChangeAspect="1"/>
        </xdr:cNvPicPr>
      </xdr:nvPicPr>
      <xdr:blipFill>
        <a:blip r:embed="rId5">
          <a:extLst/>
        </a:blip>
        <a:srcRect l="0" t="81929" r="0" b="0"/>
        <a:stretch>
          <a:fillRect/>
        </a:stretch>
      </xdr:blipFill>
      <xdr:spPr>
        <a:xfrm>
          <a:off x="524885" y="13633954"/>
          <a:ext cx="583792" cy="58498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494816</xdr:colOff>
      <xdr:row>15</xdr:row>
      <xdr:rowOff>1812</xdr:rowOff>
    </xdr:from>
    <xdr:to>
      <xdr:col>0</xdr:col>
      <xdr:colOff>1097569</xdr:colOff>
      <xdr:row>15</xdr:row>
      <xdr:rowOff>542325</xdr:rowOff>
    </xdr:to>
    <xdr:pic>
      <xdr:nvPicPr>
        <xdr:cNvPr id="295" name="Imagen 18" descr="Imagen 18"/>
        <xdr:cNvPicPr>
          <a:picLocks noChangeAspect="1"/>
        </xdr:cNvPicPr>
      </xdr:nvPicPr>
      <xdr:blipFill>
        <a:blip r:embed="rId5">
          <a:extLst/>
        </a:blip>
        <a:srcRect l="0" t="0" r="0" b="83184"/>
        <a:stretch>
          <a:fillRect/>
        </a:stretch>
      </xdr:blipFill>
      <xdr:spPr>
        <a:xfrm>
          <a:off x="494816" y="10936512"/>
          <a:ext cx="602753" cy="54051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503165</xdr:colOff>
      <xdr:row>15</xdr:row>
      <xdr:rowOff>630738</xdr:rowOff>
    </xdr:from>
    <xdr:to>
      <xdr:col>0</xdr:col>
      <xdr:colOff>1085261</xdr:colOff>
      <xdr:row>16</xdr:row>
      <xdr:rowOff>493196</xdr:rowOff>
    </xdr:to>
    <xdr:pic>
      <xdr:nvPicPr>
        <xdr:cNvPr id="296" name="Imagen 19" descr="Imagen 19"/>
        <xdr:cNvPicPr>
          <a:picLocks noChangeAspect="1"/>
        </xdr:cNvPicPr>
      </xdr:nvPicPr>
      <xdr:blipFill>
        <a:blip r:embed="rId5">
          <a:extLst/>
        </a:blip>
        <a:srcRect l="0" t="22860" r="0" b="59903"/>
        <a:stretch>
          <a:fillRect/>
        </a:stretch>
      </xdr:blipFill>
      <xdr:spPr>
        <a:xfrm>
          <a:off x="503165" y="11565438"/>
          <a:ext cx="582096" cy="5577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506027</xdr:colOff>
      <xdr:row>16</xdr:row>
      <xdr:rowOff>617714</xdr:rowOff>
    </xdr:from>
    <xdr:to>
      <xdr:col>0</xdr:col>
      <xdr:colOff>1097508</xdr:colOff>
      <xdr:row>17</xdr:row>
      <xdr:rowOff>463842</xdr:rowOff>
    </xdr:to>
    <xdr:pic>
      <xdr:nvPicPr>
        <xdr:cNvPr id="297" name="Imagen 20" descr="Imagen 20"/>
        <xdr:cNvPicPr>
          <a:picLocks noChangeAspect="1"/>
        </xdr:cNvPicPr>
      </xdr:nvPicPr>
      <xdr:blipFill>
        <a:blip r:embed="rId5">
          <a:extLst/>
        </a:blip>
        <a:srcRect l="0" t="44349" r="0" b="39086"/>
        <a:stretch>
          <a:fillRect/>
        </a:stretch>
      </xdr:blipFill>
      <xdr:spPr>
        <a:xfrm>
          <a:off x="506027" y="12247739"/>
          <a:ext cx="591482" cy="5414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524011</xdr:colOff>
      <xdr:row>17</xdr:row>
      <xdr:rowOff>636461</xdr:rowOff>
    </xdr:from>
    <xdr:to>
      <xdr:col>0</xdr:col>
      <xdr:colOff>1107801</xdr:colOff>
      <xdr:row>18</xdr:row>
      <xdr:rowOff>477027</xdr:rowOff>
    </xdr:to>
    <xdr:pic>
      <xdr:nvPicPr>
        <xdr:cNvPr id="298" name="Imagen 21" descr="Imagen 21"/>
        <xdr:cNvPicPr>
          <a:picLocks noChangeAspect="1"/>
        </xdr:cNvPicPr>
      </xdr:nvPicPr>
      <xdr:blipFill>
        <a:blip r:embed="rId5">
          <a:extLst/>
        </a:blip>
        <a:srcRect l="0" t="63599" r="0" b="19835"/>
        <a:stretch>
          <a:fillRect/>
        </a:stretch>
      </xdr:blipFill>
      <xdr:spPr>
        <a:xfrm>
          <a:off x="524010" y="12961811"/>
          <a:ext cx="583791" cy="5358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682181</xdr:colOff>
      <xdr:row>16</xdr:row>
      <xdr:rowOff>212070</xdr:rowOff>
    </xdr:from>
    <xdr:to>
      <xdr:col>6</xdr:col>
      <xdr:colOff>15354</xdr:colOff>
      <xdr:row>16</xdr:row>
      <xdr:rowOff>663388</xdr:rowOff>
    </xdr:to>
    <xdr:sp>
      <xdr:nvSpPr>
        <xdr:cNvPr id="299" name="Rectangle 4"/>
        <xdr:cNvSpPr/>
      </xdr:nvSpPr>
      <xdr:spPr>
        <a:xfrm>
          <a:off x="6841681" y="11842095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690312</xdr:colOff>
      <xdr:row>17</xdr:row>
      <xdr:rowOff>201107</xdr:rowOff>
    </xdr:from>
    <xdr:to>
      <xdr:col>6</xdr:col>
      <xdr:colOff>23485</xdr:colOff>
      <xdr:row>17</xdr:row>
      <xdr:rowOff>652425</xdr:rowOff>
    </xdr:to>
    <xdr:sp>
      <xdr:nvSpPr>
        <xdr:cNvPr id="300" name="Rectangle 4"/>
        <xdr:cNvSpPr/>
      </xdr:nvSpPr>
      <xdr:spPr>
        <a:xfrm>
          <a:off x="6849812" y="12526457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688155</xdr:colOff>
      <xdr:row>15</xdr:row>
      <xdr:rowOff>218750</xdr:rowOff>
    </xdr:from>
    <xdr:to>
      <xdr:col>6</xdr:col>
      <xdr:colOff>18179</xdr:colOff>
      <xdr:row>15</xdr:row>
      <xdr:rowOff>670067</xdr:rowOff>
    </xdr:to>
    <xdr:sp>
      <xdr:nvSpPr>
        <xdr:cNvPr id="301" name="Rectangle 4"/>
        <xdr:cNvSpPr/>
      </xdr:nvSpPr>
      <xdr:spPr>
        <a:xfrm>
          <a:off x="6847655" y="11153450"/>
          <a:ext cx="56192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603959</xdr:colOff>
      <xdr:row>17</xdr:row>
      <xdr:rowOff>127300</xdr:rowOff>
    </xdr:from>
    <xdr:to>
      <xdr:col>7</xdr:col>
      <xdr:colOff>1103013</xdr:colOff>
      <xdr:row>18</xdr:row>
      <xdr:rowOff>16233</xdr:rowOff>
    </xdr:to>
    <xdr:pic>
      <xdr:nvPicPr>
        <xdr:cNvPr id="302" name="Imagen 25" descr="Imagen 25"/>
        <xdr:cNvPicPr>
          <a:picLocks noChangeAspect="1"/>
        </xdr:cNvPicPr>
      </xdr:nvPicPr>
      <xdr:blipFill>
        <a:blip r:embed="rId6">
          <a:extLst/>
        </a:blip>
        <a:srcRect l="0" t="428" r="0" b="83905"/>
        <a:stretch>
          <a:fillRect/>
        </a:stretch>
      </xdr:blipFill>
      <xdr:spPr>
        <a:xfrm>
          <a:off x="9227259" y="12452650"/>
          <a:ext cx="499055" cy="5842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637708</xdr:colOff>
      <xdr:row>18</xdr:row>
      <xdr:rowOff>97342</xdr:rowOff>
    </xdr:from>
    <xdr:to>
      <xdr:col>11</xdr:col>
      <xdr:colOff>4232</xdr:colOff>
      <xdr:row>18</xdr:row>
      <xdr:rowOff>607102</xdr:rowOff>
    </xdr:to>
    <xdr:pic>
      <xdr:nvPicPr>
        <xdr:cNvPr id="303" name="Imagen 26" descr="Imagen 26"/>
        <xdr:cNvPicPr>
          <a:picLocks noChangeAspect="1"/>
        </xdr:cNvPicPr>
      </xdr:nvPicPr>
      <xdr:blipFill>
        <a:blip r:embed="rId7">
          <a:extLst/>
        </a:blip>
        <a:srcRect l="0" t="14319" r="108" b="71356"/>
        <a:stretch>
          <a:fillRect/>
        </a:stretch>
      </xdr:blipFill>
      <xdr:spPr>
        <a:xfrm>
          <a:off x="12956708" y="13118017"/>
          <a:ext cx="598425" cy="509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672327</xdr:colOff>
      <xdr:row>19</xdr:row>
      <xdr:rowOff>133754</xdr:rowOff>
    </xdr:from>
    <xdr:to>
      <xdr:col>11</xdr:col>
      <xdr:colOff>4232</xdr:colOff>
      <xdr:row>19</xdr:row>
      <xdr:rowOff>582724</xdr:rowOff>
    </xdr:to>
    <xdr:pic>
      <xdr:nvPicPr>
        <xdr:cNvPr id="304" name="Imagen 27" descr="Imagen 27"/>
        <xdr:cNvPicPr>
          <a:picLocks noChangeAspect="1"/>
        </xdr:cNvPicPr>
      </xdr:nvPicPr>
      <xdr:blipFill>
        <a:blip r:embed="rId7">
          <a:extLst/>
        </a:blip>
        <a:srcRect l="0" t="30153" r="0" b="56434"/>
        <a:stretch>
          <a:fillRect/>
        </a:stretch>
      </xdr:blipFill>
      <xdr:spPr>
        <a:xfrm>
          <a:off x="12991327" y="13849754"/>
          <a:ext cx="563806" cy="4489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709972</xdr:colOff>
      <xdr:row>23</xdr:row>
      <xdr:rowOff>161703</xdr:rowOff>
    </xdr:from>
    <xdr:to>
      <xdr:col>11</xdr:col>
      <xdr:colOff>2539</xdr:colOff>
      <xdr:row>23</xdr:row>
      <xdr:rowOff>579868</xdr:rowOff>
    </xdr:to>
    <xdr:pic>
      <xdr:nvPicPr>
        <xdr:cNvPr id="305" name="Imagen 28" descr="Imagen 28"/>
        <xdr:cNvPicPr>
          <a:picLocks noChangeAspect="1"/>
        </xdr:cNvPicPr>
      </xdr:nvPicPr>
      <xdr:blipFill>
        <a:blip r:embed="rId7">
          <a:extLst/>
        </a:blip>
        <a:srcRect l="0" t="86677" r="0" b="0"/>
        <a:stretch>
          <a:fillRect/>
        </a:stretch>
      </xdr:blipFill>
      <xdr:spPr>
        <a:xfrm>
          <a:off x="13028972" y="16659003"/>
          <a:ext cx="524468" cy="4181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660531</xdr:colOff>
      <xdr:row>20</xdr:row>
      <xdr:rowOff>131232</xdr:rowOff>
    </xdr:from>
    <xdr:to>
      <xdr:col>10</xdr:col>
      <xdr:colOff>1134532</xdr:colOff>
      <xdr:row>20</xdr:row>
      <xdr:rowOff>576794</xdr:rowOff>
    </xdr:to>
    <xdr:pic>
      <xdr:nvPicPr>
        <xdr:cNvPr id="306" name="Imagen 29" descr="Imagen 29"/>
        <xdr:cNvPicPr>
          <a:picLocks noChangeAspect="1"/>
        </xdr:cNvPicPr>
      </xdr:nvPicPr>
      <xdr:blipFill>
        <a:blip r:embed="rId7">
          <a:extLst/>
        </a:blip>
        <a:srcRect l="0" t="43629" r="0" b="42959"/>
        <a:stretch>
          <a:fillRect/>
        </a:stretch>
      </xdr:blipFill>
      <xdr:spPr>
        <a:xfrm>
          <a:off x="12979531" y="14542557"/>
          <a:ext cx="474002" cy="4455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668997</xdr:colOff>
      <xdr:row>21</xdr:row>
      <xdr:rowOff>97607</xdr:rowOff>
    </xdr:from>
    <xdr:to>
      <xdr:col>10</xdr:col>
      <xdr:colOff>1134533</xdr:colOff>
      <xdr:row>21</xdr:row>
      <xdr:rowOff>562115</xdr:rowOff>
    </xdr:to>
    <xdr:pic>
      <xdr:nvPicPr>
        <xdr:cNvPr id="307" name="Imagen 30" descr="Imagen 30"/>
        <xdr:cNvPicPr>
          <a:picLocks noChangeAspect="1"/>
        </xdr:cNvPicPr>
      </xdr:nvPicPr>
      <xdr:blipFill>
        <a:blip r:embed="rId7">
          <a:extLst/>
        </a:blip>
        <a:srcRect l="0" t="57722" r="0" b="29092"/>
        <a:stretch>
          <a:fillRect/>
        </a:stretch>
      </xdr:blipFill>
      <xdr:spPr>
        <a:xfrm>
          <a:off x="12987997" y="15204257"/>
          <a:ext cx="465537" cy="46450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705042</xdr:colOff>
      <xdr:row>22</xdr:row>
      <xdr:rowOff>146977</xdr:rowOff>
    </xdr:from>
    <xdr:to>
      <xdr:col>10</xdr:col>
      <xdr:colOff>1139612</xdr:colOff>
      <xdr:row>22</xdr:row>
      <xdr:rowOff>565363</xdr:rowOff>
    </xdr:to>
    <xdr:pic>
      <xdr:nvPicPr>
        <xdr:cNvPr id="308" name="Imagen 31" descr="Imagen 31"/>
        <xdr:cNvPicPr>
          <a:picLocks noChangeAspect="1"/>
        </xdr:cNvPicPr>
      </xdr:nvPicPr>
      <xdr:blipFill>
        <a:blip r:embed="rId7">
          <a:extLst/>
        </a:blip>
        <a:srcRect l="0" t="71218" r="0" b="15450"/>
        <a:stretch>
          <a:fillRect/>
        </a:stretch>
      </xdr:blipFill>
      <xdr:spPr>
        <a:xfrm>
          <a:off x="13024042" y="15948952"/>
          <a:ext cx="434571" cy="4183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688706</xdr:colOff>
      <xdr:row>17</xdr:row>
      <xdr:rowOff>98007</xdr:rowOff>
    </xdr:from>
    <xdr:to>
      <xdr:col>13</xdr:col>
      <xdr:colOff>1135784</xdr:colOff>
      <xdr:row>17</xdr:row>
      <xdr:rowOff>570331</xdr:rowOff>
    </xdr:to>
    <xdr:pic>
      <xdr:nvPicPr>
        <xdr:cNvPr id="309" name="Imagen 32" descr="Imagen 32"/>
        <xdr:cNvPicPr>
          <a:picLocks noChangeAspect="1"/>
        </xdr:cNvPicPr>
      </xdr:nvPicPr>
      <xdr:blipFill>
        <a:blip r:embed="rId8">
          <a:extLst/>
        </a:blip>
        <a:srcRect l="3328" t="0" r="0" b="86531"/>
        <a:stretch>
          <a:fillRect/>
        </a:stretch>
      </xdr:blipFill>
      <xdr:spPr>
        <a:xfrm>
          <a:off x="16703406" y="12423357"/>
          <a:ext cx="447079" cy="4723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694650</xdr:colOff>
      <xdr:row>18</xdr:row>
      <xdr:rowOff>10461</xdr:rowOff>
    </xdr:from>
    <xdr:to>
      <xdr:col>14</xdr:col>
      <xdr:colOff>11538</xdr:colOff>
      <xdr:row>18</xdr:row>
      <xdr:rowOff>568422</xdr:rowOff>
    </xdr:to>
    <xdr:pic>
      <xdr:nvPicPr>
        <xdr:cNvPr id="310" name="Imagen 33" descr="Imagen 33"/>
        <xdr:cNvPicPr>
          <a:picLocks noChangeAspect="1"/>
        </xdr:cNvPicPr>
      </xdr:nvPicPr>
      <xdr:blipFill>
        <a:blip r:embed="rId8">
          <a:extLst/>
        </a:blip>
        <a:srcRect l="0" t="16879" r="1232" b="66990"/>
        <a:stretch>
          <a:fillRect/>
        </a:stretch>
      </xdr:blipFill>
      <xdr:spPr>
        <a:xfrm>
          <a:off x="16709350" y="13031136"/>
          <a:ext cx="548789" cy="5579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14</xdr:col>
      <xdr:colOff>158750</xdr:colOff>
      <xdr:row>25</xdr:row>
      <xdr:rowOff>663410</xdr:rowOff>
    </xdr:from>
    <xdr:to>
      <xdr:col>16</xdr:col>
      <xdr:colOff>24694</xdr:colOff>
      <xdr:row>27</xdr:row>
      <xdr:rowOff>306802</xdr:rowOff>
    </xdr:to>
    <xdr:pic>
      <xdr:nvPicPr>
        <xdr:cNvPr id="311" name="Imagen 34" descr="Imagen 34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7405350" y="18551360"/>
          <a:ext cx="2329745" cy="10340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622451</xdr:colOff>
      <xdr:row>19</xdr:row>
      <xdr:rowOff>32379</xdr:rowOff>
    </xdr:from>
    <xdr:to>
      <xdr:col>8</xdr:col>
      <xdr:colOff>244</xdr:colOff>
      <xdr:row>19</xdr:row>
      <xdr:rowOff>624101</xdr:rowOff>
    </xdr:to>
    <xdr:pic>
      <xdr:nvPicPr>
        <xdr:cNvPr id="312" name="Imagen 36" descr="Imagen 36"/>
        <xdr:cNvPicPr>
          <a:picLocks noChangeAspect="1"/>
        </xdr:cNvPicPr>
      </xdr:nvPicPr>
      <xdr:blipFill>
        <a:blip r:embed="rId6">
          <a:extLst/>
        </a:blip>
        <a:srcRect l="1" t="50910" r="570" b="33484"/>
        <a:stretch>
          <a:fillRect/>
        </a:stretch>
      </xdr:blipFill>
      <xdr:spPr>
        <a:xfrm>
          <a:off x="9245751" y="13748379"/>
          <a:ext cx="609694" cy="59172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648609</xdr:colOff>
      <xdr:row>9</xdr:row>
      <xdr:rowOff>122581</xdr:rowOff>
    </xdr:from>
    <xdr:to>
      <xdr:col>5</xdr:col>
      <xdr:colOff>1123714</xdr:colOff>
      <xdr:row>9</xdr:row>
      <xdr:rowOff>575063</xdr:rowOff>
    </xdr:to>
    <xdr:sp>
      <xdr:nvSpPr>
        <xdr:cNvPr id="313" name="Rectangle 4"/>
        <xdr:cNvSpPr/>
      </xdr:nvSpPr>
      <xdr:spPr>
        <a:xfrm>
          <a:off x="6808109" y="6885331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659237</xdr:colOff>
      <xdr:row>10</xdr:row>
      <xdr:rowOff>145419</xdr:rowOff>
    </xdr:from>
    <xdr:to>
      <xdr:col>5</xdr:col>
      <xdr:colOff>1134342</xdr:colOff>
      <xdr:row>10</xdr:row>
      <xdr:rowOff>597901</xdr:rowOff>
    </xdr:to>
    <xdr:sp>
      <xdr:nvSpPr>
        <xdr:cNvPr id="314" name="Rectangle 4"/>
        <xdr:cNvSpPr/>
      </xdr:nvSpPr>
      <xdr:spPr>
        <a:xfrm>
          <a:off x="6818737" y="7603494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682294</xdr:colOff>
      <xdr:row>18</xdr:row>
      <xdr:rowOff>133751</xdr:rowOff>
    </xdr:from>
    <xdr:to>
      <xdr:col>6</xdr:col>
      <xdr:colOff>15467</xdr:colOff>
      <xdr:row>18</xdr:row>
      <xdr:rowOff>585811</xdr:rowOff>
    </xdr:to>
    <xdr:sp>
      <xdr:nvSpPr>
        <xdr:cNvPr id="315" name="Rectangle 4"/>
        <xdr:cNvSpPr/>
      </xdr:nvSpPr>
      <xdr:spPr>
        <a:xfrm>
          <a:off x="6841794" y="13154426"/>
          <a:ext cx="565074" cy="452061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683025</xdr:colOff>
      <xdr:row>19</xdr:row>
      <xdr:rowOff>108264</xdr:rowOff>
    </xdr:from>
    <xdr:to>
      <xdr:col>6</xdr:col>
      <xdr:colOff>16198</xdr:colOff>
      <xdr:row>19</xdr:row>
      <xdr:rowOff>560149</xdr:rowOff>
    </xdr:to>
    <xdr:sp>
      <xdr:nvSpPr>
        <xdr:cNvPr id="316" name="Rectangle 4"/>
        <xdr:cNvSpPr/>
      </xdr:nvSpPr>
      <xdr:spPr>
        <a:xfrm>
          <a:off x="6842525" y="13824264"/>
          <a:ext cx="565074" cy="451886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624155</xdr:colOff>
      <xdr:row>19</xdr:row>
      <xdr:rowOff>578026</xdr:rowOff>
    </xdr:from>
    <xdr:to>
      <xdr:col>7</xdr:col>
      <xdr:colOff>1225644</xdr:colOff>
      <xdr:row>20</xdr:row>
      <xdr:rowOff>613134</xdr:rowOff>
    </xdr:to>
    <xdr:pic>
      <xdr:nvPicPr>
        <xdr:cNvPr id="317" name="Imagen 41" descr="Imagen 41"/>
        <xdr:cNvPicPr>
          <a:picLocks noChangeAspect="1"/>
        </xdr:cNvPicPr>
      </xdr:nvPicPr>
      <xdr:blipFill>
        <a:blip r:embed="rId6">
          <a:extLst/>
        </a:blip>
        <a:srcRect l="0" t="64840" r="0" b="16097"/>
        <a:stretch>
          <a:fillRect/>
        </a:stretch>
      </xdr:blipFill>
      <xdr:spPr>
        <a:xfrm>
          <a:off x="9247455" y="14294026"/>
          <a:ext cx="601490" cy="7304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639992</xdr:colOff>
      <xdr:row>21</xdr:row>
      <xdr:rowOff>105076</xdr:rowOff>
    </xdr:from>
    <xdr:to>
      <xdr:col>7</xdr:col>
      <xdr:colOff>1220089</xdr:colOff>
      <xdr:row>21</xdr:row>
      <xdr:rowOff>588432</xdr:rowOff>
    </xdr:to>
    <xdr:pic>
      <xdr:nvPicPr>
        <xdr:cNvPr id="318" name="Imagen 42" descr="Imagen 42"/>
        <xdr:cNvPicPr>
          <a:picLocks noChangeAspect="1"/>
        </xdr:cNvPicPr>
      </xdr:nvPicPr>
      <xdr:blipFill>
        <a:blip r:embed="rId6">
          <a:extLst/>
        </a:blip>
        <a:srcRect l="0" t="87080" r="0" b="0"/>
        <a:stretch>
          <a:fillRect/>
        </a:stretch>
      </xdr:blipFill>
      <xdr:spPr>
        <a:xfrm>
          <a:off x="9263292" y="15211726"/>
          <a:ext cx="580098" cy="4833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628081</xdr:colOff>
      <xdr:row>18</xdr:row>
      <xdr:rowOff>61374</xdr:rowOff>
    </xdr:from>
    <xdr:to>
      <xdr:col>7</xdr:col>
      <xdr:colOff>1127206</xdr:colOff>
      <xdr:row>18</xdr:row>
      <xdr:rowOff>634054</xdr:rowOff>
    </xdr:to>
    <xdr:pic>
      <xdr:nvPicPr>
        <xdr:cNvPr id="319" name="Imagen 43" descr="Imagen 43"/>
        <xdr:cNvPicPr>
          <a:picLocks noChangeAspect="1"/>
        </xdr:cNvPicPr>
      </xdr:nvPicPr>
      <xdr:blipFill>
        <a:blip r:embed="rId6">
          <a:extLst/>
        </a:blip>
        <a:srcRect l="0" t="16132" r="0" b="68466"/>
        <a:stretch>
          <a:fillRect/>
        </a:stretch>
      </xdr:blipFill>
      <xdr:spPr>
        <a:xfrm>
          <a:off x="9251381" y="13082049"/>
          <a:ext cx="499126" cy="5726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629177</xdr:colOff>
      <xdr:row>17</xdr:row>
      <xdr:rowOff>126699</xdr:rowOff>
    </xdr:from>
    <xdr:to>
      <xdr:col>11</xdr:col>
      <xdr:colOff>6484</xdr:colOff>
      <xdr:row>17</xdr:row>
      <xdr:rowOff>642325</xdr:rowOff>
    </xdr:to>
    <xdr:pic>
      <xdr:nvPicPr>
        <xdr:cNvPr id="320" name="Imagen 44" descr="Imagen 44"/>
        <xdr:cNvPicPr>
          <a:picLocks noChangeAspect="1"/>
        </xdr:cNvPicPr>
      </xdr:nvPicPr>
      <xdr:blipFill>
        <a:blip r:embed="rId7">
          <a:extLst/>
        </a:blip>
        <a:srcRect l="0" t="363" r="0" b="85375"/>
        <a:stretch>
          <a:fillRect/>
        </a:stretch>
      </xdr:blipFill>
      <xdr:spPr>
        <a:xfrm>
          <a:off x="12948177" y="12452049"/>
          <a:ext cx="609208" cy="5156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674855</xdr:colOff>
      <xdr:row>20</xdr:row>
      <xdr:rowOff>90901</xdr:rowOff>
    </xdr:from>
    <xdr:to>
      <xdr:col>13</xdr:col>
      <xdr:colOff>1225894</xdr:colOff>
      <xdr:row>20</xdr:row>
      <xdr:rowOff>589551</xdr:rowOff>
    </xdr:to>
    <xdr:pic>
      <xdr:nvPicPr>
        <xdr:cNvPr id="321" name="Imagen 45" descr="Imagen 45"/>
        <xdr:cNvPicPr>
          <a:picLocks noChangeAspect="1"/>
        </xdr:cNvPicPr>
      </xdr:nvPicPr>
      <xdr:blipFill>
        <a:blip r:embed="rId8">
          <a:extLst/>
        </a:blip>
        <a:srcRect l="1" t="53840" r="0" b="31705"/>
        <a:stretch>
          <a:fillRect/>
        </a:stretch>
      </xdr:blipFill>
      <xdr:spPr>
        <a:xfrm>
          <a:off x="16689555" y="14502226"/>
          <a:ext cx="551040" cy="498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699099</xdr:colOff>
      <xdr:row>19</xdr:row>
      <xdr:rowOff>8654</xdr:rowOff>
    </xdr:from>
    <xdr:to>
      <xdr:col>14</xdr:col>
      <xdr:colOff>23515</xdr:colOff>
      <xdr:row>19</xdr:row>
      <xdr:rowOff>641348</xdr:rowOff>
    </xdr:to>
    <xdr:pic>
      <xdr:nvPicPr>
        <xdr:cNvPr id="322" name="Imagen 46" descr="Imagen 46"/>
        <xdr:cNvPicPr>
          <a:picLocks noChangeAspect="1"/>
        </xdr:cNvPicPr>
      </xdr:nvPicPr>
      <xdr:blipFill>
        <a:blip r:embed="rId8">
          <a:extLst/>
        </a:blip>
        <a:srcRect l="0" t="34868" r="0" b="46838"/>
        <a:stretch>
          <a:fillRect/>
        </a:stretch>
      </xdr:blipFill>
      <xdr:spPr>
        <a:xfrm>
          <a:off x="16713799" y="13724654"/>
          <a:ext cx="556317" cy="6326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683424</xdr:colOff>
      <xdr:row>22</xdr:row>
      <xdr:rowOff>84795</xdr:rowOff>
    </xdr:from>
    <xdr:to>
      <xdr:col>13</xdr:col>
      <xdr:colOff>1220035</xdr:colOff>
      <xdr:row>22</xdr:row>
      <xdr:rowOff>594171</xdr:rowOff>
    </xdr:to>
    <xdr:pic>
      <xdr:nvPicPr>
        <xdr:cNvPr id="323" name="Imagen 47" descr="Imagen 47"/>
        <xdr:cNvPicPr>
          <a:picLocks noChangeAspect="1"/>
        </xdr:cNvPicPr>
      </xdr:nvPicPr>
      <xdr:blipFill>
        <a:blip r:embed="rId8">
          <a:extLst/>
        </a:blip>
        <a:srcRect l="0" t="85234" r="0" b="0"/>
        <a:stretch>
          <a:fillRect/>
        </a:stretch>
      </xdr:blipFill>
      <xdr:spPr>
        <a:xfrm>
          <a:off x="16698124" y="15886770"/>
          <a:ext cx="536612" cy="5093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678696</xdr:colOff>
      <xdr:row>21</xdr:row>
      <xdr:rowOff>61099</xdr:rowOff>
    </xdr:from>
    <xdr:to>
      <xdr:col>13</xdr:col>
      <xdr:colOff>1228257</xdr:colOff>
      <xdr:row>21</xdr:row>
      <xdr:rowOff>637664</xdr:rowOff>
    </xdr:to>
    <xdr:pic>
      <xdr:nvPicPr>
        <xdr:cNvPr id="324" name="Imagen 48" descr="Imagen 48"/>
        <xdr:cNvPicPr>
          <a:picLocks noChangeAspect="1"/>
        </xdr:cNvPicPr>
      </xdr:nvPicPr>
      <xdr:blipFill>
        <a:blip r:embed="rId8">
          <a:extLst/>
        </a:blip>
        <a:srcRect l="0" t="67489" r="0" b="15797"/>
        <a:stretch>
          <a:fillRect/>
        </a:stretch>
      </xdr:blipFill>
      <xdr:spPr>
        <a:xfrm>
          <a:off x="16693396" y="15167749"/>
          <a:ext cx="549562" cy="5765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252158</xdr:colOff>
      <xdr:row>0</xdr:row>
      <xdr:rowOff>455813</xdr:rowOff>
    </xdr:from>
    <xdr:to>
      <xdr:col>1</xdr:col>
      <xdr:colOff>798689</xdr:colOff>
      <xdr:row>0</xdr:row>
      <xdr:rowOff>804322</xdr:rowOff>
    </xdr:to>
    <xdr:pic>
      <xdr:nvPicPr>
        <xdr:cNvPr id="326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2158" y="455813"/>
          <a:ext cx="1638731" cy="3485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315126</xdr:colOff>
      <xdr:row>0</xdr:row>
      <xdr:rowOff>20760</xdr:rowOff>
    </xdr:from>
    <xdr:to>
      <xdr:col>6</xdr:col>
      <xdr:colOff>783088</xdr:colOff>
      <xdr:row>0</xdr:row>
      <xdr:rowOff>1234721</xdr:rowOff>
    </xdr:to>
    <xdr:pic>
      <xdr:nvPicPr>
        <xdr:cNvPr id="327" name="Imagen 8" descr="Imagen 8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5941226" y="20760"/>
          <a:ext cx="1560163" cy="12139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</xdr:col>
      <xdr:colOff>1016196</xdr:colOff>
      <xdr:row>2</xdr:row>
      <xdr:rowOff>121740</xdr:rowOff>
    </xdr:from>
    <xdr:to>
      <xdr:col>4</xdr:col>
      <xdr:colOff>589224</xdr:colOff>
      <xdr:row>8</xdr:row>
      <xdr:rowOff>235755</xdr:rowOff>
    </xdr:to>
    <xdr:pic>
      <xdr:nvPicPr>
        <xdr:cNvPr id="328" name="Imagen 9" descr="Imagen 9"/>
        <xdr:cNvPicPr>
          <a:picLocks noChangeAspect="1"/>
        </xdr:cNvPicPr>
      </xdr:nvPicPr>
      <xdr:blipFill>
        <a:blip r:embed="rId3">
          <a:extLst/>
        </a:blip>
        <a:srcRect l="0" t="13305" r="0" b="14345"/>
        <a:stretch>
          <a:fillRect/>
        </a:stretch>
      </xdr:blipFill>
      <xdr:spPr>
        <a:xfrm flipH="1" rot="16200000">
          <a:off x="2992015" y="3327521"/>
          <a:ext cx="3317591" cy="71602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</xdr:col>
      <xdr:colOff>46321</xdr:colOff>
      <xdr:row>14</xdr:row>
      <xdr:rowOff>406400</xdr:rowOff>
    </xdr:from>
    <xdr:to>
      <xdr:col>1</xdr:col>
      <xdr:colOff>931335</xdr:colOff>
      <xdr:row>16</xdr:row>
      <xdr:rowOff>23119</xdr:rowOff>
    </xdr:to>
    <xdr:pic>
      <xdr:nvPicPr>
        <xdr:cNvPr id="329" name="Imagen 10" descr="Imagen 10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1138521" y="9016365"/>
          <a:ext cx="885015" cy="9051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11</xdr:col>
      <xdr:colOff>91016</xdr:colOff>
      <xdr:row>19</xdr:row>
      <xdr:rowOff>232836</xdr:rowOff>
    </xdr:from>
    <xdr:to>
      <xdr:col>11</xdr:col>
      <xdr:colOff>1090089</xdr:colOff>
      <xdr:row>21</xdr:row>
      <xdr:rowOff>80005</xdr:rowOff>
    </xdr:to>
    <xdr:pic>
      <xdr:nvPicPr>
        <xdr:cNvPr id="330" name="Imagen 11" descr="Imagen 11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>
          <a:off x="12295716" y="11881911"/>
          <a:ext cx="999074" cy="87841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82825</xdr:colOff>
      <xdr:row>0</xdr:row>
      <xdr:rowOff>348043</xdr:rowOff>
    </xdr:from>
    <xdr:to>
      <xdr:col>1</xdr:col>
      <xdr:colOff>21078</xdr:colOff>
      <xdr:row>0</xdr:row>
      <xdr:rowOff>596900</xdr:rowOff>
    </xdr:to>
    <xdr:pic>
      <xdr:nvPicPr>
        <xdr:cNvPr id="33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2825" y="348043"/>
          <a:ext cx="1170154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120924</xdr:colOff>
      <xdr:row>0</xdr:row>
      <xdr:rowOff>348043</xdr:rowOff>
    </xdr:from>
    <xdr:to>
      <xdr:col>1</xdr:col>
      <xdr:colOff>59178</xdr:colOff>
      <xdr:row>0</xdr:row>
      <xdr:rowOff>596900</xdr:rowOff>
    </xdr:to>
    <xdr:pic>
      <xdr:nvPicPr>
        <xdr:cNvPr id="333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20924" y="348043"/>
          <a:ext cx="1170155" cy="2488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6</xdr:col>
      <xdr:colOff>803678</xdr:colOff>
      <xdr:row>0</xdr:row>
      <xdr:rowOff>187574</xdr:rowOff>
    </xdr:from>
    <xdr:to>
      <xdr:col>7</xdr:col>
      <xdr:colOff>222987</xdr:colOff>
      <xdr:row>0</xdr:row>
      <xdr:rowOff>848308</xdr:rowOff>
    </xdr:to>
    <xdr:pic>
      <xdr:nvPicPr>
        <xdr:cNvPr id="334" name="Picture 104" descr="Picture 104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8195078" y="187574"/>
          <a:ext cx="651210" cy="6607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459924</xdr:colOff>
      <xdr:row>7</xdr:row>
      <xdr:rowOff>674413</xdr:rowOff>
    </xdr:from>
    <xdr:to>
      <xdr:col>0</xdr:col>
      <xdr:colOff>1108751</xdr:colOff>
      <xdr:row>8</xdr:row>
      <xdr:rowOff>628674</xdr:rowOff>
    </xdr:to>
    <xdr:pic>
      <xdr:nvPicPr>
        <xdr:cNvPr id="335" name="Imagen 7" descr="Imagen 7"/>
        <xdr:cNvPicPr>
          <a:picLocks noChangeAspect="1"/>
        </xdr:cNvPicPr>
      </xdr:nvPicPr>
      <xdr:blipFill>
        <a:blip r:embed="rId3">
          <a:extLst/>
        </a:blip>
        <a:srcRect l="0" t="0" r="4356" b="75451"/>
        <a:stretch>
          <a:fillRect/>
        </a:stretch>
      </xdr:blipFill>
      <xdr:spPr>
        <a:xfrm>
          <a:off x="459924" y="6046513"/>
          <a:ext cx="648828" cy="6495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487660</xdr:colOff>
      <xdr:row>10</xdr:row>
      <xdr:rowOff>19921</xdr:rowOff>
    </xdr:from>
    <xdr:to>
      <xdr:col>0</xdr:col>
      <xdr:colOff>1137475</xdr:colOff>
      <xdr:row>10</xdr:row>
      <xdr:rowOff>687931</xdr:rowOff>
    </xdr:to>
    <xdr:pic>
      <xdr:nvPicPr>
        <xdr:cNvPr id="336" name="Imagen 8" descr="Imagen 8"/>
        <xdr:cNvPicPr>
          <a:picLocks noChangeAspect="1"/>
        </xdr:cNvPicPr>
      </xdr:nvPicPr>
      <xdr:blipFill>
        <a:blip r:embed="rId3">
          <a:extLst/>
        </a:blip>
        <a:srcRect l="0" t="74007" r="0" b="0"/>
        <a:stretch>
          <a:fillRect/>
        </a:stretch>
      </xdr:blipFill>
      <xdr:spPr>
        <a:xfrm>
          <a:off x="487660" y="7477996"/>
          <a:ext cx="649816" cy="66801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451782</xdr:colOff>
      <xdr:row>8</xdr:row>
      <xdr:rowOff>683346</xdr:rowOff>
    </xdr:from>
    <xdr:to>
      <xdr:col>1</xdr:col>
      <xdr:colOff>16720</xdr:colOff>
      <xdr:row>9</xdr:row>
      <xdr:rowOff>673776</xdr:rowOff>
    </xdr:to>
    <xdr:pic>
      <xdr:nvPicPr>
        <xdr:cNvPr id="337" name="Imagen 9" descr="Imagen 9"/>
        <xdr:cNvPicPr>
          <a:picLocks noChangeAspect="1"/>
        </xdr:cNvPicPr>
      </xdr:nvPicPr>
      <xdr:blipFill>
        <a:blip r:embed="rId3">
          <a:extLst/>
        </a:blip>
        <a:srcRect l="0" t="24549" r="0" b="50180"/>
        <a:stretch>
          <a:fillRect/>
        </a:stretch>
      </xdr:blipFill>
      <xdr:spPr>
        <a:xfrm>
          <a:off x="451782" y="6750771"/>
          <a:ext cx="796839" cy="68575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501494</xdr:colOff>
      <xdr:row>10</xdr:row>
      <xdr:rowOff>654535</xdr:rowOff>
    </xdr:from>
    <xdr:to>
      <xdr:col>7</xdr:col>
      <xdr:colOff>1088349</xdr:colOff>
      <xdr:row>11</xdr:row>
      <xdr:rowOff>607970</xdr:rowOff>
    </xdr:to>
    <xdr:pic>
      <xdr:nvPicPr>
        <xdr:cNvPr id="338" name="Imagen 10" descr="Imagen 10"/>
        <xdr:cNvPicPr>
          <a:picLocks noChangeAspect="1"/>
        </xdr:cNvPicPr>
      </xdr:nvPicPr>
      <xdr:blipFill>
        <a:blip r:embed="rId4">
          <a:extLst/>
        </a:blip>
        <a:srcRect l="12925" t="75693" r="0" b="0"/>
        <a:stretch>
          <a:fillRect/>
        </a:stretch>
      </xdr:blipFill>
      <xdr:spPr>
        <a:xfrm>
          <a:off x="9124794" y="8112610"/>
          <a:ext cx="586856" cy="648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493134</xdr:colOff>
      <xdr:row>8</xdr:row>
      <xdr:rowOff>32079</xdr:rowOff>
    </xdr:from>
    <xdr:to>
      <xdr:col>7</xdr:col>
      <xdr:colOff>1035050</xdr:colOff>
      <xdr:row>8</xdr:row>
      <xdr:rowOff>607618</xdr:rowOff>
    </xdr:to>
    <xdr:pic>
      <xdr:nvPicPr>
        <xdr:cNvPr id="339" name="Imagen 11" descr="Imagen 11"/>
        <xdr:cNvPicPr>
          <a:picLocks noChangeAspect="1"/>
        </xdr:cNvPicPr>
      </xdr:nvPicPr>
      <xdr:blipFill>
        <a:blip r:embed="rId4">
          <a:extLst/>
        </a:blip>
        <a:srcRect l="11564" t="0" r="0" b="75480"/>
        <a:stretch>
          <a:fillRect/>
        </a:stretch>
      </xdr:blipFill>
      <xdr:spPr>
        <a:xfrm>
          <a:off x="9116434" y="6099504"/>
          <a:ext cx="541916" cy="5755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471368</xdr:colOff>
      <xdr:row>9</xdr:row>
      <xdr:rowOff>5881</xdr:rowOff>
    </xdr:from>
    <xdr:to>
      <xdr:col>7</xdr:col>
      <xdr:colOff>1049867</xdr:colOff>
      <xdr:row>9</xdr:row>
      <xdr:rowOff>553587</xdr:rowOff>
    </xdr:to>
    <xdr:pic>
      <xdr:nvPicPr>
        <xdr:cNvPr id="340" name="Imagen 12" descr="Imagen 12"/>
        <xdr:cNvPicPr>
          <a:picLocks noChangeAspect="1"/>
        </xdr:cNvPicPr>
      </xdr:nvPicPr>
      <xdr:blipFill>
        <a:blip r:embed="rId4">
          <a:extLst/>
        </a:blip>
        <a:srcRect l="8163" t="27506" r="0" b="49466"/>
        <a:stretch>
          <a:fillRect/>
        </a:stretch>
      </xdr:blipFill>
      <xdr:spPr>
        <a:xfrm>
          <a:off x="9094668" y="6768631"/>
          <a:ext cx="578500" cy="54770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479407</xdr:colOff>
      <xdr:row>9</xdr:row>
      <xdr:rowOff>646610</xdr:rowOff>
    </xdr:from>
    <xdr:to>
      <xdr:col>7</xdr:col>
      <xdr:colOff>1057256</xdr:colOff>
      <xdr:row>10</xdr:row>
      <xdr:rowOff>539615</xdr:rowOff>
    </xdr:to>
    <xdr:pic>
      <xdr:nvPicPr>
        <xdr:cNvPr id="341" name="Imagen 13" descr="Imagen 13"/>
        <xdr:cNvPicPr>
          <a:picLocks noChangeAspect="1"/>
        </xdr:cNvPicPr>
      </xdr:nvPicPr>
      <xdr:blipFill>
        <a:blip r:embed="rId4">
          <a:extLst/>
        </a:blip>
        <a:srcRect l="10204" t="50746" r="0" b="25585"/>
        <a:stretch>
          <a:fillRect/>
        </a:stretch>
      </xdr:blipFill>
      <xdr:spPr>
        <a:xfrm>
          <a:off x="9102707" y="7409360"/>
          <a:ext cx="577850" cy="58833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657505</xdr:colOff>
      <xdr:row>8</xdr:row>
      <xdr:rowOff>112759</xdr:rowOff>
    </xdr:from>
    <xdr:to>
      <xdr:col>5</xdr:col>
      <xdr:colOff>1132611</xdr:colOff>
      <xdr:row>8</xdr:row>
      <xdr:rowOff>565240</xdr:rowOff>
    </xdr:to>
    <xdr:sp>
      <xdr:nvSpPr>
        <xdr:cNvPr id="342" name="Rectangle 4"/>
        <xdr:cNvSpPr/>
      </xdr:nvSpPr>
      <xdr:spPr>
        <a:xfrm>
          <a:off x="6817005" y="6180184"/>
          <a:ext cx="475107" cy="452482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698580</xdr:colOff>
      <xdr:row>8</xdr:row>
      <xdr:rowOff>123823</xdr:rowOff>
    </xdr:from>
    <xdr:to>
      <xdr:col>16</xdr:col>
      <xdr:colOff>34674</xdr:colOff>
      <xdr:row>8</xdr:row>
      <xdr:rowOff>575140</xdr:rowOff>
    </xdr:to>
    <xdr:sp>
      <xdr:nvSpPr>
        <xdr:cNvPr id="343" name="Rectangle 4"/>
        <xdr:cNvSpPr/>
      </xdr:nvSpPr>
      <xdr:spPr>
        <a:xfrm>
          <a:off x="19177080" y="6191248"/>
          <a:ext cx="56799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695318</xdr:colOff>
      <xdr:row>9</xdr:row>
      <xdr:rowOff>129029</xdr:rowOff>
    </xdr:from>
    <xdr:to>
      <xdr:col>16</xdr:col>
      <xdr:colOff>31411</xdr:colOff>
      <xdr:row>9</xdr:row>
      <xdr:rowOff>580346</xdr:rowOff>
    </xdr:to>
    <xdr:sp>
      <xdr:nvSpPr>
        <xdr:cNvPr id="344" name="Rectangle 4"/>
        <xdr:cNvSpPr/>
      </xdr:nvSpPr>
      <xdr:spPr>
        <a:xfrm>
          <a:off x="19173818" y="6891779"/>
          <a:ext cx="567994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693176</xdr:colOff>
      <xdr:row>10</xdr:row>
      <xdr:rowOff>116775</xdr:rowOff>
    </xdr:from>
    <xdr:to>
      <xdr:col>16</xdr:col>
      <xdr:colOff>31303</xdr:colOff>
      <xdr:row>10</xdr:row>
      <xdr:rowOff>568093</xdr:rowOff>
    </xdr:to>
    <xdr:sp>
      <xdr:nvSpPr>
        <xdr:cNvPr id="345" name="Rectangle 4"/>
        <xdr:cNvSpPr/>
      </xdr:nvSpPr>
      <xdr:spPr>
        <a:xfrm>
          <a:off x="19171676" y="7574850"/>
          <a:ext cx="570028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15</xdr:col>
      <xdr:colOff>690205</xdr:colOff>
      <xdr:row>11</xdr:row>
      <xdr:rowOff>134991</xdr:rowOff>
    </xdr:from>
    <xdr:to>
      <xdr:col>16</xdr:col>
      <xdr:colOff>26299</xdr:colOff>
      <xdr:row>11</xdr:row>
      <xdr:rowOff>585740</xdr:rowOff>
    </xdr:to>
    <xdr:sp>
      <xdr:nvSpPr>
        <xdr:cNvPr id="346" name="Rectangle 4"/>
        <xdr:cNvSpPr/>
      </xdr:nvSpPr>
      <xdr:spPr>
        <a:xfrm>
          <a:off x="19168705" y="8288391"/>
          <a:ext cx="567995" cy="450750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189089</xdr:colOff>
      <xdr:row>4</xdr:row>
      <xdr:rowOff>67733</xdr:rowOff>
    </xdr:from>
    <xdr:to>
      <xdr:col>15</xdr:col>
      <xdr:colOff>866421</xdr:colOff>
      <xdr:row>4</xdr:row>
      <xdr:rowOff>81843</xdr:rowOff>
    </xdr:to>
    <xdr:sp>
      <xdr:nvSpPr>
        <xdr:cNvPr id="347" name="Conector recto 22"/>
        <xdr:cNvSpPr/>
      </xdr:nvSpPr>
      <xdr:spPr>
        <a:xfrm flipV="1">
          <a:off x="10044289" y="3353858"/>
          <a:ext cx="9300633" cy="14111"/>
        </a:xfrm>
        <a:prstGeom prst="line">
          <a:avLst/>
        </a:prstGeom>
        <a:noFill/>
        <a:ln w="19050" cap="flat">
          <a:solidFill>
            <a:srgbClr val="00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524886</xdr:colOff>
      <xdr:row>18</xdr:row>
      <xdr:rowOff>613279</xdr:rowOff>
    </xdr:from>
    <xdr:to>
      <xdr:col>0</xdr:col>
      <xdr:colOff>1108676</xdr:colOff>
      <xdr:row>19</xdr:row>
      <xdr:rowOff>502936</xdr:rowOff>
    </xdr:to>
    <xdr:pic>
      <xdr:nvPicPr>
        <xdr:cNvPr id="348" name="Imagen 23" descr="Imagen 23"/>
        <xdr:cNvPicPr>
          <a:picLocks noChangeAspect="1"/>
        </xdr:cNvPicPr>
      </xdr:nvPicPr>
      <xdr:blipFill>
        <a:blip r:embed="rId5">
          <a:extLst/>
        </a:blip>
        <a:srcRect l="0" t="81929" r="0" b="0"/>
        <a:stretch>
          <a:fillRect/>
        </a:stretch>
      </xdr:blipFill>
      <xdr:spPr>
        <a:xfrm>
          <a:off x="524885" y="13633954"/>
          <a:ext cx="583792" cy="58498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494816</xdr:colOff>
      <xdr:row>15</xdr:row>
      <xdr:rowOff>1812</xdr:rowOff>
    </xdr:from>
    <xdr:to>
      <xdr:col>0</xdr:col>
      <xdr:colOff>1097569</xdr:colOff>
      <xdr:row>15</xdr:row>
      <xdr:rowOff>542325</xdr:rowOff>
    </xdr:to>
    <xdr:pic>
      <xdr:nvPicPr>
        <xdr:cNvPr id="349" name="Imagen 24" descr="Imagen 24"/>
        <xdr:cNvPicPr>
          <a:picLocks noChangeAspect="1"/>
        </xdr:cNvPicPr>
      </xdr:nvPicPr>
      <xdr:blipFill>
        <a:blip r:embed="rId5">
          <a:extLst/>
        </a:blip>
        <a:srcRect l="0" t="0" r="0" b="83184"/>
        <a:stretch>
          <a:fillRect/>
        </a:stretch>
      </xdr:blipFill>
      <xdr:spPr>
        <a:xfrm>
          <a:off x="494816" y="10936512"/>
          <a:ext cx="602753" cy="54051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503165</xdr:colOff>
      <xdr:row>15</xdr:row>
      <xdr:rowOff>630738</xdr:rowOff>
    </xdr:from>
    <xdr:to>
      <xdr:col>0</xdr:col>
      <xdr:colOff>1085261</xdr:colOff>
      <xdr:row>16</xdr:row>
      <xdr:rowOff>493196</xdr:rowOff>
    </xdr:to>
    <xdr:pic>
      <xdr:nvPicPr>
        <xdr:cNvPr id="350" name="Imagen 25" descr="Imagen 25"/>
        <xdr:cNvPicPr>
          <a:picLocks noChangeAspect="1"/>
        </xdr:cNvPicPr>
      </xdr:nvPicPr>
      <xdr:blipFill>
        <a:blip r:embed="rId5">
          <a:extLst/>
        </a:blip>
        <a:srcRect l="0" t="22860" r="0" b="59903"/>
        <a:stretch>
          <a:fillRect/>
        </a:stretch>
      </xdr:blipFill>
      <xdr:spPr>
        <a:xfrm>
          <a:off x="503165" y="11565438"/>
          <a:ext cx="582096" cy="55778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506027</xdr:colOff>
      <xdr:row>16</xdr:row>
      <xdr:rowOff>617714</xdr:rowOff>
    </xdr:from>
    <xdr:to>
      <xdr:col>0</xdr:col>
      <xdr:colOff>1097508</xdr:colOff>
      <xdr:row>17</xdr:row>
      <xdr:rowOff>463842</xdr:rowOff>
    </xdr:to>
    <xdr:pic>
      <xdr:nvPicPr>
        <xdr:cNvPr id="351" name="Imagen 26" descr="Imagen 26"/>
        <xdr:cNvPicPr>
          <a:picLocks noChangeAspect="1"/>
        </xdr:cNvPicPr>
      </xdr:nvPicPr>
      <xdr:blipFill>
        <a:blip r:embed="rId5">
          <a:extLst/>
        </a:blip>
        <a:srcRect l="0" t="44349" r="0" b="39086"/>
        <a:stretch>
          <a:fillRect/>
        </a:stretch>
      </xdr:blipFill>
      <xdr:spPr>
        <a:xfrm>
          <a:off x="506027" y="12247739"/>
          <a:ext cx="591482" cy="54145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524011</xdr:colOff>
      <xdr:row>17</xdr:row>
      <xdr:rowOff>636461</xdr:rowOff>
    </xdr:from>
    <xdr:to>
      <xdr:col>0</xdr:col>
      <xdr:colOff>1107801</xdr:colOff>
      <xdr:row>18</xdr:row>
      <xdr:rowOff>477027</xdr:rowOff>
    </xdr:to>
    <xdr:pic>
      <xdr:nvPicPr>
        <xdr:cNvPr id="352" name="Imagen 27" descr="Imagen 27"/>
        <xdr:cNvPicPr>
          <a:picLocks noChangeAspect="1"/>
        </xdr:cNvPicPr>
      </xdr:nvPicPr>
      <xdr:blipFill>
        <a:blip r:embed="rId5">
          <a:extLst/>
        </a:blip>
        <a:srcRect l="0" t="63599" r="0" b="19835"/>
        <a:stretch>
          <a:fillRect/>
        </a:stretch>
      </xdr:blipFill>
      <xdr:spPr>
        <a:xfrm>
          <a:off x="524010" y="12961811"/>
          <a:ext cx="583791" cy="53589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682181</xdr:colOff>
      <xdr:row>16</xdr:row>
      <xdr:rowOff>212070</xdr:rowOff>
    </xdr:from>
    <xdr:to>
      <xdr:col>6</xdr:col>
      <xdr:colOff>15354</xdr:colOff>
      <xdr:row>16</xdr:row>
      <xdr:rowOff>663388</xdr:rowOff>
    </xdr:to>
    <xdr:sp>
      <xdr:nvSpPr>
        <xdr:cNvPr id="353" name="Rectangle 4"/>
        <xdr:cNvSpPr/>
      </xdr:nvSpPr>
      <xdr:spPr>
        <a:xfrm>
          <a:off x="6841681" y="11842095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690312</xdr:colOff>
      <xdr:row>17</xdr:row>
      <xdr:rowOff>201107</xdr:rowOff>
    </xdr:from>
    <xdr:to>
      <xdr:col>6</xdr:col>
      <xdr:colOff>23485</xdr:colOff>
      <xdr:row>17</xdr:row>
      <xdr:rowOff>652425</xdr:rowOff>
    </xdr:to>
    <xdr:sp>
      <xdr:nvSpPr>
        <xdr:cNvPr id="354" name="Rectangle 4"/>
        <xdr:cNvSpPr/>
      </xdr:nvSpPr>
      <xdr:spPr>
        <a:xfrm>
          <a:off x="6849812" y="12526457"/>
          <a:ext cx="565074" cy="451319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688155</xdr:colOff>
      <xdr:row>15</xdr:row>
      <xdr:rowOff>218750</xdr:rowOff>
    </xdr:from>
    <xdr:to>
      <xdr:col>6</xdr:col>
      <xdr:colOff>18179</xdr:colOff>
      <xdr:row>15</xdr:row>
      <xdr:rowOff>670067</xdr:rowOff>
    </xdr:to>
    <xdr:sp>
      <xdr:nvSpPr>
        <xdr:cNvPr id="355" name="Rectangle 4"/>
        <xdr:cNvSpPr/>
      </xdr:nvSpPr>
      <xdr:spPr>
        <a:xfrm>
          <a:off x="6847655" y="11153450"/>
          <a:ext cx="561925" cy="451318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603959</xdr:colOff>
      <xdr:row>17</xdr:row>
      <xdr:rowOff>127300</xdr:rowOff>
    </xdr:from>
    <xdr:to>
      <xdr:col>7</xdr:col>
      <xdr:colOff>1103013</xdr:colOff>
      <xdr:row>18</xdr:row>
      <xdr:rowOff>16233</xdr:rowOff>
    </xdr:to>
    <xdr:pic>
      <xdr:nvPicPr>
        <xdr:cNvPr id="356" name="Imagen 33" descr="Imagen 33"/>
        <xdr:cNvPicPr>
          <a:picLocks noChangeAspect="1"/>
        </xdr:cNvPicPr>
      </xdr:nvPicPr>
      <xdr:blipFill>
        <a:blip r:embed="rId6">
          <a:extLst/>
        </a:blip>
        <a:srcRect l="0" t="428" r="0" b="83905"/>
        <a:stretch>
          <a:fillRect/>
        </a:stretch>
      </xdr:blipFill>
      <xdr:spPr>
        <a:xfrm>
          <a:off x="9227259" y="12452650"/>
          <a:ext cx="499055" cy="5842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637708</xdr:colOff>
      <xdr:row>18</xdr:row>
      <xdr:rowOff>97342</xdr:rowOff>
    </xdr:from>
    <xdr:to>
      <xdr:col>11</xdr:col>
      <xdr:colOff>4232</xdr:colOff>
      <xdr:row>18</xdr:row>
      <xdr:rowOff>607102</xdr:rowOff>
    </xdr:to>
    <xdr:pic>
      <xdr:nvPicPr>
        <xdr:cNvPr id="357" name="Imagen 34" descr="Imagen 34"/>
        <xdr:cNvPicPr>
          <a:picLocks noChangeAspect="1"/>
        </xdr:cNvPicPr>
      </xdr:nvPicPr>
      <xdr:blipFill>
        <a:blip r:embed="rId7">
          <a:extLst/>
        </a:blip>
        <a:srcRect l="0" t="14319" r="108" b="71356"/>
        <a:stretch>
          <a:fillRect/>
        </a:stretch>
      </xdr:blipFill>
      <xdr:spPr>
        <a:xfrm>
          <a:off x="12956708" y="13118017"/>
          <a:ext cx="598425" cy="50976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672327</xdr:colOff>
      <xdr:row>19</xdr:row>
      <xdr:rowOff>133754</xdr:rowOff>
    </xdr:from>
    <xdr:to>
      <xdr:col>11</xdr:col>
      <xdr:colOff>4232</xdr:colOff>
      <xdr:row>19</xdr:row>
      <xdr:rowOff>582724</xdr:rowOff>
    </xdr:to>
    <xdr:pic>
      <xdr:nvPicPr>
        <xdr:cNvPr id="358" name="Imagen 35" descr="Imagen 35"/>
        <xdr:cNvPicPr>
          <a:picLocks noChangeAspect="1"/>
        </xdr:cNvPicPr>
      </xdr:nvPicPr>
      <xdr:blipFill>
        <a:blip r:embed="rId7">
          <a:extLst/>
        </a:blip>
        <a:srcRect l="0" t="30153" r="0" b="56434"/>
        <a:stretch>
          <a:fillRect/>
        </a:stretch>
      </xdr:blipFill>
      <xdr:spPr>
        <a:xfrm>
          <a:off x="12991327" y="13849754"/>
          <a:ext cx="563806" cy="44897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709972</xdr:colOff>
      <xdr:row>23</xdr:row>
      <xdr:rowOff>161703</xdr:rowOff>
    </xdr:from>
    <xdr:to>
      <xdr:col>11</xdr:col>
      <xdr:colOff>2539</xdr:colOff>
      <xdr:row>23</xdr:row>
      <xdr:rowOff>579868</xdr:rowOff>
    </xdr:to>
    <xdr:pic>
      <xdr:nvPicPr>
        <xdr:cNvPr id="359" name="Imagen 36" descr="Imagen 36"/>
        <xdr:cNvPicPr>
          <a:picLocks noChangeAspect="1"/>
        </xdr:cNvPicPr>
      </xdr:nvPicPr>
      <xdr:blipFill>
        <a:blip r:embed="rId7">
          <a:extLst/>
        </a:blip>
        <a:srcRect l="0" t="86677" r="0" b="0"/>
        <a:stretch>
          <a:fillRect/>
        </a:stretch>
      </xdr:blipFill>
      <xdr:spPr>
        <a:xfrm>
          <a:off x="13028972" y="16659003"/>
          <a:ext cx="524468" cy="4181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660531</xdr:colOff>
      <xdr:row>20</xdr:row>
      <xdr:rowOff>131232</xdr:rowOff>
    </xdr:from>
    <xdr:to>
      <xdr:col>10</xdr:col>
      <xdr:colOff>1134532</xdr:colOff>
      <xdr:row>20</xdr:row>
      <xdr:rowOff>576794</xdr:rowOff>
    </xdr:to>
    <xdr:pic>
      <xdr:nvPicPr>
        <xdr:cNvPr id="360" name="Imagen 37" descr="Imagen 37"/>
        <xdr:cNvPicPr>
          <a:picLocks noChangeAspect="1"/>
        </xdr:cNvPicPr>
      </xdr:nvPicPr>
      <xdr:blipFill>
        <a:blip r:embed="rId7">
          <a:extLst/>
        </a:blip>
        <a:srcRect l="0" t="43629" r="0" b="42959"/>
        <a:stretch>
          <a:fillRect/>
        </a:stretch>
      </xdr:blipFill>
      <xdr:spPr>
        <a:xfrm>
          <a:off x="12979531" y="14542557"/>
          <a:ext cx="474002" cy="44556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668997</xdr:colOff>
      <xdr:row>21</xdr:row>
      <xdr:rowOff>97607</xdr:rowOff>
    </xdr:from>
    <xdr:to>
      <xdr:col>10</xdr:col>
      <xdr:colOff>1134533</xdr:colOff>
      <xdr:row>21</xdr:row>
      <xdr:rowOff>562115</xdr:rowOff>
    </xdr:to>
    <xdr:pic>
      <xdr:nvPicPr>
        <xdr:cNvPr id="361" name="Imagen 38" descr="Imagen 38"/>
        <xdr:cNvPicPr>
          <a:picLocks noChangeAspect="1"/>
        </xdr:cNvPicPr>
      </xdr:nvPicPr>
      <xdr:blipFill>
        <a:blip r:embed="rId7">
          <a:extLst/>
        </a:blip>
        <a:srcRect l="0" t="57722" r="0" b="29092"/>
        <a:stretch>
          <a:fillRect/>
        </a:stretch>
      </xdr:blipFill>
      <xdr:spPr>
        <a:xfrm>
          <a:off x="12987997" y="15204257"/>
          <a:ext cx="465537" cy="46450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705042</xdr:colOff>
      <xdr:row>22</xdr:row>
      <xdr:rowOff>146977</xdr:rowOff>
    </xdr:from>
    <xdr:to>
      <xdr:col>10</xdr:col>
      <xdr:colOff>1139612</xdr:colOff>
      <xdr:row>22</xdr:row>
      <xdr:rowOff>565363</xdr:rowOff>
    </xdr:to>
    <xdr:pic>
      <xdr:nvPicPr>
        <xdr:cNvPr id="362" name="Imagen 39" descr="Imagen 39"/>
        <xdr:cNvPicPr>
          <a:picLocks noChangeAspect="1"/>
        </xdr:cNvPicPr>
      </xdr:nvPicPr>
      <xdr:blipFill>
        <a:blip r:embed="rId7">
          <a:extLst/>
        </a:blip>
        <a:srcRect l="0" t="71218" r="0" b="15450"/>
        <a:stretch>
          <a:fillRect/>
        </a:stretch>
      </xdr:blipFill>
      <xdr:spPr>
        <a:xfrm>
          <a:off x="13024042" y="15948952"/>
          <a:ext cx="434571" cy="4183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688706</xdr:colOff>
      <xdr:row>17</xdr:row>
      <xdr:rowOff>98007</xdr:rowOff>
    </xdr:from>
    <xdr:to>
      <xdr:col>13</xdr:col>
      <xdr:colOff>1135784</xdr:colOff>
      <xdr:row>17</xdr:row>
      <xdr:rowOff>570331</xdr:rowOff>
    </xdr:to>
    <xdr:pic>
      <xdr:nvPicPr>
        <xdr:cNvPr id="363" name="Imagen 40" descr="Imagen 40"/>
        <xdr:cNvPicPr>
          <a:picLocks noChangeAspect="1"/>
        </xdr:cNvPicPr>
      </xdr:nvPicPr>
      <xdr:blipFill>
        <a:blip r:embed="rId8">
          <a:extLst/>
        </a:blip>
        <a:srcRect l="3328" t="0" r="0" b="86531"/>
        <a:stretch>
          <a:fillRect/>
        </a:stretch>
      </xdr:blipFill>
      <xdr:spPr>
        <a:xfrm>
          <a:off x="16703406" y="12423357"/>
          <a:ext cx="447079" cy="4723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694650</xdr:colOff>
      <xdr:row>18</xdr:row>
      <xdr:rowOff>10461</xdr:rowOff>
    </xdr:from>
    <xdr:to>
      <xdr:col>14</xdr:col>
      <xdr:colOff>11538</xdr:colOff>
      <xdr:row>18</xdr:row>
      <xdr:rowOff>568422</xdr:rowOff>
    </xdr:to>
    <xdr:pic>
      <xdr:nvPicPr>
        <xdr:cNvPr id="364" name="Imagen 41" descr="Imagen 41"/>
        <xdr:cNvPicPr>
          <a:picLocks noChangeAspect="1"/>
        </xdr:cNvPicPr>
      </xdr:nvPicPr>
      <xdr:blipFill>
        <a:blip r:embed="rId8">
          <a:extLst/>
        </a:blip>
        <a:srcRect l="0" t="16879" r="1232" b="66990"/>
        <a:stretch>
          <a:fillRect/>
        </a:stretch>
      </xdr:blipFill>
      <xdr:spPr>
        <a:xfrm>
          <a:off x="16709350" y="13031136"/>
          <a:ext cx="548789" cy="55796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14</xdr:col>
      <xdr:colOff>158750</xdr:colOff>
      <xdr:row>25</xdr:row>
      <xdr:rowOff>663410</xdr:rowOff>
    </xdr:from>
    <xdr:to>
      <xdr:col>16</xdr:col>
      <xdr:colOff>24694</xdr:colOff>
      <xdr:row>27</xdr:row>
      <xdr:rowOff>306802</xdr:rowOff>
    </xdr:to>
    <xdr:pic>
      <xdr:nvPicPr>
        <xdr:cNvPr id="365" name="Imagen 42" descr="Imagen 42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>
          <a:off x="17405350" y="18551360"/>
          <a:ext cx="2329745" cy="10340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622451</xdr:colOff>
      <xdr:row>19</xdr:row>
      <xdr:rowOff>32379</xdr:rowOff>
    </xdr:from>
    <xdr:to>
      <xdr:col>8</xdr:col>
      <xdr:colOff>244</xdr:colOff>
      <xdr:row>19</xdr:row>
      <xdr:rowOff>624101</xdr:rowOff>
    </xdr:to>
    <xdr:pic>
      <xdr:nvPicPr>
        <xdr:cNvPr id="366" name="Imagen 43" descr="Imagen 43"/>
        <xdr:cNvPicPr>
          <a:picLocks noChangeAspect="1"/>
        </xdr:cNvPicPr>
      </xdr:nvPicPr>
      <xdr:blipFill>
        <a:blip r:embed="rId6">
          <a:extLst/>
        </a:blip>
        <a:srcRect l="1" t="50910" r="570" b="33484"/>
        <a:stretch>
          <a:fillRect/>
        </a:stretch>
      </xdr:blipFill>
      <xdr:spPr>
        <a:xfrm>
          <a:off x="9245751" y="13748379"/>
          <a:ext cx="609694" cy="59172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5</xdr:col>
      <xdr:colOff>648609</xdr:colOff>
      <xdr:row>9</xdr:row>
      <xdr:rowOff>122581</xdr:rowOff>
    </xdr:from>
    <xdr:to>
      <xdr:col>5</xdr:col>
      <xdr:colOff>1123714</xdr:colOff>
      <xdr:row>9</xdr:row>
      <xdr:rowOff>575063</xdr:rowOff>
    </xdr:to>
    <xdr:sp>
      <xdr:nvSpPr>
        <xdr:cNvPr id="367" name="Rectangle 4"/>
        <xdr:cNvSpPr/>
      </xdr:nvSpPr>
      <xdr:spPr>
        <a:xfrm>
          <a:off x="6808109" y="6885331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659237</xdr:colOff>
      <xdr:row>10</xdr:row>
      <xdr:rowOff>145419</xdr:rowOff>
    </xdr:from>
    <xdr:to>
      <xdr:col>5</xdr:col>
      <xdr:colOff>1134342</xdr:colOff>
      <xdr:row>10</xdr:row>
      <xdr:rowOff>597901</xdr:rowOff>
    </xdr:to>
    <xdr:sp>
      <xdr:nvSpPr>
        <xdr:cNvPr id="368" name="Rectangle 4"/>
        <xdr:cNvSpPr/>
      </xdr:nvSpPr>
      <xdr:spPr>
        <a:xfrm>
          <a:off x="6818737" y="7603494"/>
          <a:ext cx="475106" cy="452483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682294</xdr:colOff>
      <xdr:row>18</xdr:row>
      <xdr:rowOff>133751</xdr:rowOff>
    </xdr:from>
    <xdr:to>
      <xdr:col>6</xdr:col>
      <xdr:colOff>15467</xdr:colOff>
      <xdr:row>18</xdr:row>
      <xdr:rowOff>585811</xdr:rowOff>
    </xdr:to>
    <xdr:sp>
      <xdr:nvSpPr>
        <xdr:cNvPr id="369" name="Rectangle 4"/>
        <xdr:cNvSpPr/>
      </xdr:nvSpPr>
      <xdr:spPr>
        <a:xfrm>
          <a:off x="6841794" y="13154426"/>
          <a:ext cx="565074" cy="452061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5</xdr:col>
      <xdr:colOff>683025</xdr:colOff>
      <xdr:row>19</xdr:row>
      <xdr:rowOff>108264</xdr:rowOff>
    </xdr:from>
    <xdr:to>
      <xdr:col>6</xdr:col>
      <xdr:colOff>16198</xdr:colOff>
      <xdr:row>19</xdr:row>
      <xdr:rowOff>560149</xdr:rowOff>
    </xdr:to>
    <xdr:sp>
      <xdr:nvSpPr>
        <xdr:cNvPr id="370" name="Rectangle 4"/>
        <xdr:cNvSpPr/>
      </xdr:nvSpPr>
      <xdr:spPr>
        <a:xfrm>
          <a:off x="6842525" y="13824264"/>
          <a:ext cx="565074" cy="451886"/>
        </a:xfrm>
        <a:prstGeom prst="rect">
          <a:avLst/>
        </a:prstGeom>
        <a:solidFill>
          <a:srgbClr val="FFFFFF"/>
        </a:solidFill>
        <a:ln w="19050" cap="flat">
          <a:solidFill>
            <a:srgbClr val="092937"/>
          </a:solidFill>
          <a:prstDash val="sysDash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624155</xdr:colOff>
      <xdr:row>19</xdr:row>
      <xdr:rowOff>578026</xdr:rowOff>
    </xdr:from>
    <xdr:to>
      <xdr:col>7</xdr:col>
      <xdr:colOff>1225644</xdr:colOff>
      <xdr:row>20</xdr:row>
      <xdr:rowOff>613134</xdr:rowOff>
    </xdr:to>
    <xdr:pic>
      <xdr:nvPicPr>
        <xdr:cNvPr id="371" name="Imagen 14" descr="Imagen 14"/>
        <xdr:cNvPicPr>
          <a:picLocks noChangeAspect="1"/>
        </xdr:cNvPicPr>
      </xdr:nvPicPr>
      <xdr:blipFill>
        <a:blip r:embed="rId6">
          <a:extLst/>
        </a:blip>
        <a:srcRect l="0" t="64840" r="0" b="16097"/>
        <a:stretch>
          <a:fillRect/>
        </a:stretch>
      </xdr:blipFill>
      <xdr:spPr>
        <a:xfrm>
          <a:off x="9247455" y="14294026"/>
          <a:ext cx="601490" cy="73043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639992</xdr:colOff>
      <xdr:row>21</xdr:row>
      <xdr:rowOff>105076</xdr:rowOff>
    </xdr:from>
    <xdr:to>
      <xdr:col>7</xdr:col>
      <xdr:colOff>1220089</xdr:colOff>
      <xdr:row>21</xdr:row>
      <xdr:rowOff>588432</xdr:rowOff>
    </xdr:to>
    <xdr:pic>
      <xdr:nvPicPr>
        <xdr:cNvPr id="372" name="Imagen 16" descr="Imagen 16"/>
        <xdr:cNvPicPr>
          <a:picLocks noChangeAspect="1"/>
        </xdr:cNvPicPr>
      </xdr:nvPicPr>
      <xdr:blipFill>
        <a:blip r:embed="rId6">
          <a:extLst/>
        </a:blip>
        <a:srcRect l="0" t="87080" r="0" b="0"/>
        <a:stretch>
          <a:fillRect/>
        </a:stretch>
      </xdr:blipFill>
      <xdr:spPr>
        <a:xfrm>
          <a:off x="9263292" y="15211726"/>
          <a:ext cx="580098" cy="48335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628081</xdr:colOff>
      <xdr:row>18</xdr:row>
      <xdr:rowOff>61374</xdr:rowOff>
    </xdr:from>
    <xdr:to>
      <xdr:col>7</xdr:col>
      <xdr:colOff>1127206</xdr:colOff>
      <xdr:row>18</xdr:row>
      <xdr:rowOff>634054</xdr:rowOff>
    </xdr:to>
    <xdr:pic>
      <xdr:nvPicPr>
        <xdr:cNvPr id="373" name="Imagen 31" descr="Imagen 31"/>
        <xdr:cNvPicPr>
          <a:picLocks noChangeAspect="1"/>
        </xdr:cNvPicPr>
      </xdr:nvPicPr>
      <xdr:blipFill>
        <a:blip r:embed="rId6">
          <a:extLst/>
        </a:blip>
        <a:srcRect l="0" t="16132" r="0" b="68466"/>
        <a:stretch>
          <a:fillRect/>
        </a:stretch>
      </xdr:blipFill>
      <xdr:spPr>
        <a:xfrm>
          <a:off x="9251381" y="13082049"/>
          <a:ext cx="499126" cy="5726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629177</xdr:colOff>
      <xdr:row>17</xdr:row>
      <xdr:rowOff>126699</xdr:rowOff>
    </xdr:from>
    <xdr:to>
      <xdr:col>11</xdr:col>
      <xdr:colOff>6484</xdr:colOff>
      <xdr:row>17</xdr:row>
      <xdr:rowOff>642325</xdr:rowOff>
    </xdr:to>
    <xdr:pic>
      <xdr:nvPicPr>
        <xdr:cNvPr id="374" name="Imagen 32" descr="Imagen 32"/>
        <xdr:cNvPicPr>
          <a:picLocks noChangeAspect="1"/>
        </xdr:cNvPicPr>
      </xdr:nvPicPr>
      <xdr:blipFill>
        <a:blip r:embed="rId7">
          <a:extLst/>
        </a:blip>
        <a:srcRect l="0" t="363" r="0" b="85375"/>
        <a:stretch>
          <a:fillRect/>
        </a:stretch>
      </xdr:blipFill>
      <xdr:spPr>
        <a:xfrm>
          <a:off x="12948177" y="12452049"/>
          <a:ext cx="609208" cy="5156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674855</xdr:colOff>
      <xdr:row>20</xdr:row>
      <xdr:rowOff>90901</xdr:rowOff>
    </xdr:from>
    <xdr:to>
      <xdr:col>13</xdr:col>
      <xdr:colOff>1225894</xdr:colOff>
      <xdr:row>20</xdr:row>
      <xdr:rowOff>589551</xdr:rowOff>
    </xdr:to>
    <xdr:pic>
      <xdr:nvPicPr>
        <xdr:cNvPr id="375" name="Imagen 44" descr="Imagen 44"/>
        <xdr:cNvPicPr>
          <a:picLocks noChangeAspect="1"/>
        </xdr:cNvPicPr>
      </xdr:nvPicPr>
      <xdr:blipFill>
        <a:blip r:embed="rId8">
          <a:extLst/>
        </a:blip>
        <a:srcRect l="1" t="53840" r="0" b="31705"/>
        <a:stretch>
          <a:fillRect/>
        </a:stretch>
      </xdr:blipFill>
      <xdr:spPr>
        <a:xfrm>
          <a:off x="16689555" y="14502226"/>
          <a:ext cx="551040" cy="49865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699099</xdr:colOff>
      <xdr:row>19</xdr:row>
      <xdr:rowOff>8654</xdr:rowOff>
    </xdr:from>
    <xdr:to>
      <xdr:col>14</xdr:col>
      <xdr:colOff>23515</xdr:colOff>
      <xdr:row>19</xdr:row>
      <xdr:rowOff>641348</xdr:rowOff>
    </xdr:to>
    <xdr:pic>
      <xdr:nvPicPr>
        <xdr:cNvPr id="376" name="Imagen 45" descr="Imagen 45"/>
        <xdr:cNvPicPr>
          <a:picLocks noChangeAspect="1"/>
        </xdr:cNvPicPr>
      </xdr:nvPicPr>
      <xdr:blipFill>
        <a:blip r:embed="rId8">
          <a:extLst/>
        </a:blip>
        <a:srcRect l="0" t="34868" r="0" b="46838"/>
        <a:stretch>
          <a:fillRect/>
        </a:stretch>
      </xdr:blipFill>
      <xdr:spPr>
        <a:xfrm>
          <a:off x="16713799" y="13724654"/>
          <a:ext cx="556317" cy="63269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683424</xdr:colOff>
      <xdr:row>22</xdr:row>
      <xdr:rowOff>84795</xdr:rowOff>
    </xdr:from>
    <xdr:to>
      <xdr:col>13</xdr:col>
      <xdr:colOff>1220035</xdr:colOff>
      <xdr:row>22</xdr:row>
      <xdr:rowOff>594171</xdr:rowOff>
    </xdr:to>
    <xdr:pic>
      <xdr:nvPicPr>
        <xdr:cNvPr id="377" name="Imagen 46" descr="Imagen 46"/>
        <xdr:cNvPicPr>
          <a:picLocks noChangeAspect="1"/>
        </xdr:cNvPicPr>
      </xdr:nvPicPr>
      <xdr:blipFill>
        <a:blip r:embed="rId8">
          <a:extLst/>
        </a:blip>
        <a:srcRect l="0" t="85234" r="0" b="0"/>
        <a:stretch>
          <a:fillRect/>
        </a:stretch>
      </xdr:blipFill>
      <xdr:spPr>
        <a:xfrm>
          <a:off x="16698124" y="15886770"/>
          <a:ext cx="536612" cy="5093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13</xdr:col>
      <xdr:colOff>678696</xdr:colOff>
      <xdr:row>21</xdr:row>
      <xdr:rowOff>61099</xdr:rowOff>
    </xdr:from>
    <xdr:to>
      <xdr:col>13</xdr:col>
      <xdr:colOff>1228257</xdr:colOff>
      <xdr:row>21</xdr:row>
      <xdr:rowOff>637664</xdr:rowOff>
    </xdr:to>
    <xdr:pic>
      <xdr:nvPicPr>
        <xdr:cNvPr id="378" name="Imagen 47" descr="Imagen 47"/>
        <xdr:cNvPicPr>
          <a:picLocks noChangeAspect="1"/>
        </xdr:cNvPicPr>
      </xdr:nvPicPr>
      <xdr:blipFill>
        <a:blip r:embed="rId8">
          <a:extLst/>
        </a:blip>
        <a:srcRect l="0" t="67489" r="0" b="15797"/>
        <a:stretch>
          <a:fillRect/>
        </a:stretch>
      </xdr:blipFill>
      <xdr:spPr>
        <a:xfrm>
          <a:off x="16693396" y="15167749"/>
          <a:ext cx="549562" cy="5765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48"/>
  <sheetViews>
    <sheetView workbookViewId="0" showGridLines="0" defaultGridColor="1"/>
  </sheetViews>
  <sheetFormatPr defaultColWidth="14.3333" defaultRowHeight="21.75" customHeight="1" outlineLevelRow="0" outlineLevelCol="0"/>
  <cols>
    <col min="1" max="3" width="14.3516" style="1" customWidth="1"/>
    <col min="4" max="4" width="15" style="1" customWidth="1"/>
    <col min="5" max="5" width="15.8516" style="1" customWidth="1"/>
    <col min="6" max="8" width="14.3516" style="1" customWidth="1"/>
    <col min="9" max="9" width="11.3516" style="1" customWidth="1"/>
    <col min="10" max="10" width="17.6719" style="1" customWidth="1"/>
    <col min="11" max="13" width="14.3516" style="1" customWidth="1"/>
    <col min="14" max="14" width="16.5" style="1" customWidth="1"/>
    <col min="15" max="15" width="16.6719" style="1" customWidth="1"/>
    <col min="16" max="19" width="14.3516" style="1" customWidth="1"/>
    <col min="20" max="16384" width="14.3516" style="1" customWidth="1"/>
  </cols>
  <sheetData>
    <row r="1" ht="98.25" customHeight="1">
      <c r="A1" s="2"/>
      <c r="B1" s="3"/>
      <c r="C1" t="s" s="4">
        <v>0</v>
      </c>
      <c r="D1" s="5"/>
      <c r="E1" s="5"/>
      <c r="F1" s="3"/>
      <c r="G1" s="5"/>
      <c r="H1" t="s" s="4">
        <v>1</v>
      </c>
      <c r="I1" s="3"/>
      <c r="J1" s="3"/>
      <c r="K1" t="s" s="4">
        <v>2</v>
      </c>
      <c r="L1" s="3"/>
      <c r="M1" t="s" s="4">
        <v>3</v>
      </c>
      <c r="N1" s="3"/>
      <c r="O1" t="s" s="6">
        <v>4</v>
      </c>
      <c r="P1" s="7"/>
      <c r="Q1" s="8"/>
      <c r="R1" s="8"/>
      <c r="S1" s="9"/>
    </row>
    <row r="2" ht="51.75" customHeight="1">
      <c r="A2" t="s" s="10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3"/>
      <c r="R2" s="14"/>
      <c r="S2" s="15"/>
    </row>
    <row r="3" ht="22.5" customHeight="1">
      <c r="A3" s="16"/>
      <c r="B3" s="17"/>
      <c r="C3" s="17"/>
      <c r="D3" s="17"/>
      <c r="E3" s="18"/>
      <c r="F3" s="18"/>
      <c r="G3" s="17"/>
      <c r="H3" s="17"/>
      <c r="I3" s="17"/>
      <c r="J3" s="17"/>
      <c r="K3" s="18"/>
      <c r="L3" s="17"/>
      <c r="M3" s="17"/>
      <c r="N3" s="17"/>
      <c r="O3" s="17"/>
      <c r="P3" s="18"/>
      <c r="Q3" s="14"/>
      <c r="R3" s="14"/>
      <c r="S3" s="15"/>
    </row>
    <row r="4" ht="45.95" customHeight="1">
      <c r="A4" s="19"/>
      <c r="B4" t="s" s="20">
        <v>6</v>
      </c>
      <c r="C4" s="21"/>
      <c r="D4" s="22"/>
      <c r="E4" s="23"/>
      <c r="F4" s="24"/>
      <c r="G4" t="s" s="25">
        <v>7</v>
      </c>
      <c r="H4" s="26"/>
      <c r="I4" s="26"/>
      <c r="J4" s="27"/>
      <c r="K4" s="28"/>
      <c r="L4" t="s" s="20">
        <v>8</v>
      </c>
      <c r="M4" s="21"/>
      <c r="N4" s="21"/>
      <c r="O4" t="s" s="29">
        <v>9</v>
      </c>
      <c r="P4" s="23"/>
      <c r="Q4" s="14"/>
      <c r="R4" s="14"/>
      <c r="S4" s="15"/>
    </row>
    <row r="5" ht="45.95" customHeight="1">
      <c r="A5" s="19"/>
      <c r="B5" t="s" s="30">
        <v>10</v>
      </c>
      <c r="C5" s="31"/>
      <c r="D5" s="32"/>
      <c r="E5" s="23"/>
      <c r="F5" s="24"/>
      <c r="G5" t="s" s="33">
        <v>11</v>
      </c>
      <c r="H5" s="34"/>
      <c r="I5" s="35"/>
      <c r="J5" s="32"/>
      <c r="K5" s="28"/>
      <c r="L5" t="s" s="30">
        <v>12</v>
      </c>
      <c r="M5" s="31"/>
      <c r="N5" s="36">
        <v>0.15</v>
      </c>
      <c r="O5" s="37" cm="1">
        <f t="array" ref="O5">IF(D7/8100&lt;1,1,D7/8100)</f>
        <v>1</v>
      </c>
      <c r="P5" s="23"/>
      <c r="Q5" s="14"/>
      <c r="R5" s="14"/>
      <c r="S5" s="15"/>
    </row>
    <row r="6" ht="45.95" customHeight="1">
      <c r="A6" s="19"/>
      <c r="B6" t="s" s="30">
        <v>13</v>
      </c>
      <c r="C6" s="31"/>
      <c r="D6" s="38" cm="1">
        <f t="array" ref="D6">D5*0.85</f>
        <v>0</v>
      </c>
      <c r="E6" s="23"/>
      <c r="F6" s="24"/>
      <c r="G6" t="s" s="39">
        <v>14</v>
      </c>
      <c r="H6" s="40"/>
      <c r="I6" s="41"/>
      <c r="J6" s="42"/>
      <c r="K6" s="28"/>
      <c r="L6" t="s" s="43">
        <v>15</v>
      </c>
      <c r="M6" s="44"/>
      <c r="N6" s="36">
        <v>0.05</v>
      </c>
      <c r="O6" s="37" cm="1">
        <f t="array" ref="O6">IF(D8*N6&lt;1,1,D8*N6)</f>
      </c>
      <c r="P6" s="23"/>
      <c r="Q6" s="14"/>
      <c r="R6" s="14"/>
      <c r="S6" s="15"/>
    </row>
    <row r="7" ht="45.95" customHeight="1">
      <c r="A7" s="19"/>
      <c r="B7" t="s" s="43">
        <v>12</v>
      </c>
      <c r="C7" s="44"/>
      <c r="D7" s="38" cm="1">
        <f t="array" ref="D7">D5*0.15</f>
        <v>0</v>
      </c>
      <c r="E7" s="23"/>
      <c r="F7" s="24"/>
      <c r="G7" t="s" s="39">
        <v>16</v>
      </c>
      <c r="H7" s="40"/>
      <c r="I7" s="41"/>
      <c r="J7" s="45" cm="1">
        <f t="array" ref="J7">J5*J6</f>
        <v>0</v>
      </c>
      <c r="K7" s="28"/>
      <c r="L7" t="s" s="46">
        <v>17</v>
      </c>
      <c r="M7" s="47"/>
      <c r="N7" s="48">
        <v>0.3</v>
      </c>
      <c r="O7" s="49" cm="1">
        <f t="array" ref="O7">IF(D8*N7&lt;1,1,D8*N7)</f>
      </c>
      <c r="P7" s="23"/>
      <c r="Q7" s="14"/>
      <c r="R7" s="14"/>
      <c r="S7" s="15"/>
    </row>
    <row r="8" ht="45.95" customHeight="1">
      <c r="A8" s="19"/>
      <c r="B8" t="s" s="46">
        <v>18</v>
      </c>
      <c r="C8" s="47"/>
      <c r="D8" s="49" cm="1">
        <f t="array" ref="D8">D5/N14</f>
      </c>
      <c r="E8" s="23"/>
      <c r="F8" s="24"/>
      <c r="G8" t="s" s="50">
        <v>19</v>
      </c>
      <c r="H8" s="51"/>
      <c r="I8" s="52"/>
      <c r="J8" s="49" cm="1">
        <f t="array" ref="J8">D5*1.1</f>
        <v>0</v>
      </c>
      <c r="K8" s="23"/>
      <c r="L8" t="s" s="53">
        <v>20</v>
      </c>
      <c r="M8" s="54"/>
      <c r="N8" s="54"/>
      <c r="O8" s="54"/>
      <c r="P8" s="14"/>
      <c r="Q8" s="14"/>
      <c r="R8" s="14"/>
      <c r="S8" s="15"/>
    </row>
    <row r="9" ht="45.95" customHeight="1">
      <c r="A9" s="55"/>
      <c r="B9" s="56"/>
      <c r="C9" s="56"/>
      <c r="D9" s="56"/>
      <c r="E9" s="14"/>
      <c r="F9" s="14"/>
      <c r="G9" t="s" s="53">
        <v>21</v>
      </c>
      <c r="H9" s="54"/>
      <c r="I9" s="54"/>
      <c r="J9" s="54"/>
      <c r="K9" s="14"/>
      <c r="L9" s="57"/>
      <c r="M9" s="14"/>
      <c r="N9" s="14"/>
      <c r="O9" s="14"/>
      <c r="P9" s="14"/>
      <c r="Q9" s="14"/>
      <c r="R9" s="14"/>
      <c r="S9" s="15"/>
    </row>
    <row r="10" ht="45.95" customHeight="1">
      <c r="A10" s="55"/>
      <c r="B10" s="58"/>
      <c r="C10" s="58"/>
      <c r="D10" s="58"/>
      <c r="E10" s="58"/>
      <c r="F10" s="14"/>
      <c r="G10" s="58"/>
      <c r="H10" s="58"/>
      <c r="I10" s="58"/>
      <c r="J10" s="58"/>
      <c r="K10" s="14"/>
      <c r="L10" t="s" s="59">
        <v>22</v>
      </c>
      <c r="M10" s="60"/>
      <c r="N10" t="s" s="59">
        <v>23</v>
      </c>
      <c r="O10" s="60"/>
      <c r="P10" s="14"/>
      <c r="Q10" s="14"/>
      <c r="R10" s="14"/>
      <c r="S10" s="15"/>
    </row>
    <row r="11" ht="45.95" customHeight="1">
      <c r="A11" s="19"/>
      <c r="B11" t="s" s="25">
        <v>24</v>
      </c>
      <c r="C11" s="26"/>
      <c r="D11" s="26"/>
      <c r="E11" s="27"/>
      <c r="F11" s="28"/>
      <c r="G11" t="s" s="61">
        <v>25</v>
      </c>
      <c r="H11" s="62"/>
      <c r="I11" s="62"/>
      <c r="J11" s="63"/>
      <c r="K11" s="28"/>
      <c r="L11" t="s" s="64">
        <v>26</v>
      </c>
      <c r="M11" s="65"/>
      <c r="N11" t="s" s="64">
        <v>26</v>
      </c>
      <c r="O11" s="65"/>
      <c r="P11" s="23"/>
      <c r="Q11" s="14"/>
      <c r="R11" s="14"/>
      <c r="S11" s="15"/>
    </row>
    <row r="12" ht="45.95" customHeight="1">
      <c r="A12" s="19"/>
      <c r="B12" t="s" s="33">
        <v>27</v>
      </c>
      <c r="C12" s="35"/>
      <c r="D12" s="66" cm="1">
        <f t="array" ref="D12">D5/D31</f>
      </c>
      <c r="E12" s="67"/>
      <c r="F12" s="28"/>
      <c r="G12" t="s" s="68">
        <v>28</v>
      </c>
      <c r="H12" s="69"/>
      <c r="I12" s="70"/>
      <c r="J12" s="71"/>
      <c r="K12" s="28"/>
      <c r="L12" s="72"/>
      <c r="M12" s="73"/>
      <c r="N12" s="72"/>
      <c r="O12" s="73"/>
      <c r="P12" s="23"/>
      <c r="Q12" s="14"/>
      <c r="R12" s="14"/>
      <c r="S12" s="15"/>
    </row>
    <row r="13" ht="45.95" customHeight="1">
      <c r="A13" s="19"/>
      <c r="B13" t="s" s="50">
        <v>9</v>
      </c>
      <c r="C13" s="52"/>
      <c r="D13" s="74" cm="1">
        <f t="array" ref="D13">D8/D31</f>
      </c>
      <c r="E13" s="75"/>
      <c r="F13" s="23"/>
      <c r="G13" s="56"/>
      <c r="H13" s="56"/>
      <c r="I13" s="76"/>
      <c r="J13" s="76"/>
      <c r="K13" s="24"/>
      <c r="L13" t="s" s="64">
        <v>29</v>
      </c>
      <c r="M13" s="65"/>
      <c r="N13" t="s" s="64">
        <v>29</v>
      </c>
      <c r="O13" s="65"/>
      <c r="P13" s="23"/>
      <c r="Q13" s="14"/>
      <c r="R13" s="14"/>
      <c r="S13" s="15"/>
    </row>
    <row r="14" ht="45.95" customHeight="1">
      <c r="A14" s="55"/>
      <c r="B14" s="56"/>
      <c r="C14" s="56"/>
      <c r="D14" s="56"/>
      <c r="E14" s="56"/>
      <c r="F14" s="14"/>
      <c r="G14" s="14"/>
      <c r="H14" s="14"/>
      <c r="I14" s="77"/>
      <c r="J14" s="77"/>
      <c r="K14" s="24"/>
      <c r="L14" s="72"/>
      <c r="M14" s="73"/>
      <c r="N14" s="72"/>
      <c r="O14" s="73"/>
      <c r="P14" s="23"/>
      <c r="Q14" s="14"/>
      <c r="R14" s="14"/>
      <c r="S14" s="15"/>
    </row>
    <row r="15" ht="45.95" customHeight="1">
      <c r="A15" s="55"/>
      <c r="B15" s="14"/>
      <c r="C15" s="58"/>
      <c r="D15" s="58"/>
      <c r="E15" s="58"/>
      <c r="F15" s="58"/>
      <c r="G15" s="58"/>
      <c r="H15" s="58"/>
      <c r="I15" s="14"/>
      <c r="J15" s="14"/>
      <c r="K15" s="14"/>
      <c r="L15" s="56"/>
      <c r="M15" s="56"/>
      <c r="N15" s="56"/>
      <c r="O15" s="56"/>
      <c r="P15" s="14"/>
      <c r="Q15" s="14"/>
      <c r="R15" s="14"/>
      <c r="S15" s="15"/>
    </row>
    <row r="16" ht="55.5" customHeight="1">
      <c r="A16" s="55"/>
      <c r="B16" s="78"/>
      <c r="C16" t="s" s="79">
        <v>30</v>
      </c>
      <c r="D16" t="s" s="80">
        <v>31</v>
      </c>
      <c r="E16" t="s" s="80">
        <v>32</v>
      </c>
      <c r="F16" t="s" s="80">
        <v>33</v>
      </c>
      <c r="G16" t="s" s="80">
        <v>34</v>
      </c>
      <c r="H16" t="s" s="81">
        <v>35</v>
      </c>
      <c r="I16" s="82"/>
      <c r="J16" s="77"/>
      <c r="K16" s="14"/>
      <c r="L16" s="14"/>
      <c r="M16" s="14"/>
      <c r="N16" s="14"/>
      <c r="O16" s="14"/>
      <c r="P16" s="14"/>
      <c r="Q16" s="14"/>
      <c r="R16" s="14"/>
      <c r="S16" s="15"/>
    </row>
    <row r="17" ht="45.95" customHeight="1">
      <c r="A17" s="19"/>
      <c r="B17" t="s" s="83">
        <v>36</v>
      </c>
      <c r="C17" s="84"/>
      <c r="D17" s="85"/>
      <c r="E17" s="85"/>
      <c r="F17" s="85"/>
      <c r="G17" s="86"/>
      <c r="H17" s="87" cm="1">
        <f t="array" ref="H17">SUM(C17:G17)</f>
        <v>0</v>
      </c>
      <c r="I17" s="82"/>
      <c r="J17" s="77"/>
      <c r="K17" s="77"/>
      <c r="L17" s="77"/>
      <c r="M17" s="77"/>
      <c r="N17" s="77"/>
      <c r="O17" s="77"/>
      <c r="P17" s="14"/>
      <c r="Q17" s="14"/>
      <c r="R17" s="14"/>
      <c r="S17" s="15"/>
    </row>
    <row r="18" ht="45.95" customHeight="1">
      <c r="A18" s="19"/>
      <c r="B18" t="s" s="88">
        <v>37</v>
      </c>
      <c r="C18" s="89" cm="1">
        <f t="array" ref="C18">C17/$H$17</f>
      </c>
      <c r="D18" s="36" cm="1">
        <f t="array" ref="D18">D17/$H$17</f>
      </c>
      <c r="E18" s="36" cm="1">
        <f t="array" ref="E18">E17/$H$17</f>
      </c>
      <c r="F18" s="36" cm="1">
        <f t="array" ref="F18">F17/$H$17</f>
      </c>
      <c r="G18" s="36" cm="1">
        <f t="array" ref="G18">G17/$H$17</f>
      </c>
      <c r="H18" s="90" cm="1">
        <f t="array" ref="H18">H17/$H$17</f>
      </c>
      <c r="I18" s="82"/>
      <c r="J18" s="77"/>
      <c r="K18" s="77"/>
      <c r="L18" s="77"/>
      <c r="M18" s="77"/>
      <c r="N18" s="77"/>
      <c r="O18" s="77"/>
      <c r="P18" s="14"/>
      <c r="Q18" s="14"/>
      <c r="R18" s="14"/>
      <c r="S18" s="15"/>
    </row>
    <row r="19" ht="45.95" customHeight="1">
      <c r="A19" s="19"/>
      <c r="B19" t="s" s="91">
        <v>38</v>
      </c>
      <c r="C19" s="92" cm="1">
        <f t="array" ref="C19">C18*$D$5</f>
      </c>
      <c r="D19" s="93" cm="1">
        <f t="array" ref="D19">D18*$D$5</f>
      </c>
      <c r="E19" s="93" cm="1">
        <f t="array" ref="E19">E18*$D$5</f>
      </c>
      <c r="F19" s="93" cm="1">
        <f t="array" ref="F19">F18*$D$5</f>
      </c>
      <c r="G19" s="93" cm="1">
        <f t="array" ref="G19">G18*$D$5</f>
      </c>
      <c r="H19" s="49" cm="1">
        <f t="array" ref="H19">SUM(C19:G19)</f>
      </c>
      <c r="I19" s="82"/>
      <c r="J19" s="77"/>
      <c r="K19" s="77"/>
      <c r="L19" s="77"/>
      <c r="M19" s="77"/>
      <c r="N19" s="77"/>
      <c r="O19" s="77"/>
      <c r="P19" s="14"/>
      <c r="Q19" s="14"/>
      <c r="R19" s="14"/>
      <c r="S19" s="15"/>
    </row>
    <row r="20" ht="45.95" customHeight="1">
      <c r="A20" s="55"/>
      <c r="B20" s="56"/>
      <c r="C20" s="56"/>
      <c r="D20" s="56"/>
      <c r="E20" s="94"/>
      <c r="F20" s="94"/>
      <c r="G20" s="56"/>
      <c r="H20" s="56"/>
      <c r="I20" s="77"/>
      <c r="J20" s="77"/>
      <c r="K20" s="14"/>
      <c r="L20" s="14"/>
      <c r="M20" s="14"/>
      <c r="N20" s="14"/>
      <c r="O20" s="14"/>
      <c r="P20" s="14"/>
      <c r="Q20" s="14"/>
      <c r="R20" s="14"/>
      <c r="S20" s="15"/>
    </row>
    <row r="21" ht="35.25" customHeight="1">
      <c r="A21" s="5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14"/>
      <c r="N21" s="14"/>
      <c r="O21" s="14"/>
      <c r="P21" s="14"/>
      <c r="Q21" s="14"/>
      <c r="R21" s="14"/>
      <c r="S21" s="15"/>
    </row>
    <row r="22" ht="78.75" customHeight="1">
      <c r="A22" s="96"/>
      <c r="B22" t="s" s="97">
        <v>39</v>
      </c>
      <c r="C22" s="98"/>
      <c r="D22" t="s" s="97">
        <v>40</v>
      </c>
      <c r="E22" s="98"/>
      <c r="F22" t="s" s="97">
        <v>41</v>
      </c>
      <c r="G22" t="s" s="97">
        <v>42</v>
      </c>
      <c r="H22" s="98"/>
      <c r="I22" t="s" s="97">
        <v>43</v>
      </c>
      <c r="J22" s="98"/>
      <c r="K22" t="s" s="97">
        <v>44</v>
      </c>
      <c r="L22" t="s" s="97">
        <v>45</v>
      </c>
      <c r="M22" t="s" s="99">
        <v>46</v>
      </c>
      <c r="N22" s="100"/>
      <c r="O22" s="100"/>
      <c r="P22" s="100"/>
      <c r="Q22" s="14"/>
      <c r="R22" s="14"/>
      <c r="S22" s="15"/>
    </row>
    <row r="23" ht="45.95" customHeight="1">
      <c r="A23" s="96"/>
      <c r="B23" s="44"/>
      <c r="C23" s="44"/>
      <c r="D23" s="101"/>
      <c r="E23" s="101"/>
      <c r="F23" s="102" cm="1">
        <f t="array" ref="F23">($D$5/$D$31)*D23</f>
      </c>
      <c r="G23" s="103" cm="1">
        <f t="array" ref="G23">(($D$8-$O$5)/$D$31)*D23</f>
      </c>
      <c r="H23" s="104"/>
      <c r="I23" s="105"/>
      <c r="J23" s="105"/>
      <c r="K23" s="105"/>
      <c r="L23" s="105"/>
      <c r="M23" s="106"/>
      <c r="N23" s="100"/>
      <c r="O23" s="100"/>
      <c r="P23" s="100"/>
      <c r="Q23" s="77"/>
      <c r="R23" s="14"/>
      <c r="S23" s="15"/>
    </row>
    <row r="24" ht="45.95" customHeight="1">
      <c r="A24" s="96"/>
      <c r="B24" s="44"/>
      <c r="C24" s="44"/>
      <c r="D24" s="101"/>
      <c r="E24" s="101"/>
      <c r="F24" s="102" cm="1">
        <f t="array" ref="F24">($D$5/$D$31)*D24</f>
      </c>
      <c r="G24" s="103" cm="1">
        <f t="array" ref="G24">(($D$8-$O$5)/$D$31)*D24</f>
      </c>
      <c r="H24" s="104"/>
      <c r="I24" s="105"/>
      <c r="J24" s="105"/>
      <c r="K24" s="105"/>
      <c r="L24" s="105"/>
      <c r="M24" s="106"/>
      <c r="N24" s="100"/>
      <c r="O24" s="100"/>
      <c r="P24" s="100"/>
      <c r="Q24" s="107"/>
      <c r="R24" s="14"/>
      <c r="S24" s="15"/>
    </row>
    <row r="25" ht="45.95" customHeight="1">
      <c r="A25" s="96"/>
      <c r="B25" s="108"/>
      <c r="C25" s="41"/>
      <c r="D25" s="109"/>
      <c r="E25" s="110"/>
      <c r="F25" s="102" cm="1">
        <f t="array" ref="F25">($D$5/$D$31)*D25</f>
      </c>
      <c r="G25" s="103" cm="1">
        <f t="array" ref="G25">(($D$8-$O$5)/$D$31)*D25</f>
      </c>
      <c r="H25" s="104"/>
      <c r="I25" s="105"/>
      <c r="J25" s="44"/>
      <c r="K25" s="105"/>
      <c r="L25" s="105"/>
      <c r="M25" s="106"/>
      <c r="N25" s="100"/>
      <c r="O25" s="100"/>
      <c r="P25" s="100"/>
      <c r="Q25" s="107"/>
      <c r="R25" s="14"/>
      <c r="S25" s="15"/>
    </row>
    <row r="26" ht="45.95" customHeight="1">
      <c r="A26" s="96"/>
      <c r="B26" s="108"/>
      <c r="C26" s="41"/>
      <c r="D26" s="109"/>
      <c r="E26" s="110"/>
      <c r="F26" s="102" cm="1">
        <f t="array" ref="F26">($D$5/$D$31)*D26</f>
      </c>
      <c r="G26" s="103" cm="1">
        <f t="array" ref="G26">(($D$8-$O$5)/$D$31)*D26</f>
      </c>
      <c r="H26" s="104"/>
      <c r="I26" s="105"/>
      <c r="J26" s="44"/>
      <c r="K26" s="105"/>
      <c r="L26" s="105"/>
      <c r="M26" s="106"/>
      <c r="N26" s="100"/>
      <c r="O26" s="100"/>
      <c r="P26" s="100"/>
      <c r="Q26" s="107"/>
      <c r="R26" s="14"/>
      <c r="S26" s="15"/>
    </row>
    <row r="27" ht="45.95" customHeight="1">
      <c r="A27" s="96"/>
      <c r="B27" s="108"/>
      <c r="C27" s="41"/>
      <c r="D27" s="109"/>
      <c r="E27" s="110"/>
      <c r="F27" s="102" cm="1">
        <f t="array" ref="F27">($D$5/$D$31)*D27</f>
      </c>
      <c r="G27" s="103" cm="1">
        <f t="array" ref="G27">(($D$8-$O$5)/$D$31)*D27</f>
      </c>
      <c r="H27" s="104"/>
      <c r="I27" s="105"/>
      <c r="J27" s="44"/>
      <c r="K27" s="105"/>
      <c r="L27" s="105"/>
      <c r="M27" s="106"/>
      <c r="N27" s="100"/>
      <c r="O27" s="100"/>
      <c r="P27" s="100"/>
      <c r="Q27" s="107"/>
      <c r="R27" s="14"/>
      <c r="S27" s="15"/>
    </row>
    <row r="28" ht="45.95" customHeight="1">
      <c r="A28" s="96"/>
      <c r="B28" s="108"/>
      <c r="C28" s="41"/>
      <c r="D28" s="109"/>
      <c r="E28" s="110"/>
      <c r="F28" s="102" cm="1">
        <f t="array" ref="F28">($D$5/$D$31)*D28</f>
      </c>
      <c r="G28" s="103" cm="1">
        <f t="array" ref="G28">(($D$8-$O$5)/$D$31)*D28</f>
      </c>
      <c r="H28" s="104"/>
      <c r="I28" s="105"/>
      <c r="J28" s="44"/>
      <c r="K28" s="105"/>
      <c r="L28" s="105"/>
      <c r="M28" s="106"/>
      <c r="N28" s="100"/>
      <c r="O28" s="100"/>
      <c r="P28" s="100"/>
      <c r="Q28" s="107"/>
      <c r="R28" s="14"/>
      <c r="S28" s="15"/>
    </row>
    <row r="29" ht="45.95" customHeight="1">
      <c r="A29" s="96"/>
      <c r="B29" s="108"/>
      <c r="C29" s="41"/>
      <c r="D29" s="109"/>
      <c r="E29" s="110"/>
      <c r="F29" s="102" cm="1">
        <f t="array" ref="F29">($D$5/$D$31)*D29</f>
      </c>
      <c r="G29" s="103" cm="1">
        <f t="array" ref="G29">(($D$8-$O$5)/$D$31)*D29</f>
      </c>
      <c r="H29" s="104"/>
      <c r="I29" s="105"/>
      <c r="J29" s="44"/>
      <c r="K29" s="105"/>
      <c r="L29" s="105"/>
      <c r="M29" s="106"/>
      <c r="N29" s="100"/>
      <c r="O29" s="100"/>
      <c r="P29" s="100"/>
      <c r="Q29" s="107"/>
      <c r="R29" s="14"/>
      <c r="S29" s="15"/>
    </row>
    <row r="30" ht="45.95" customHeight="1">
      <c r="A30" s="96"/>
      <c r="B30" s="44"/>
      <c r="C30" s="44"/>
      <c r="D30" s="101"/>
      <c r="E30" s="101"/>
      <c r="F30" s="102" cm="1">
        <f t="array" ref="F30">($D$5/$D$31)*D30</f>
      </c>
      <c r="G30" s="103" cm="1">
        <f t="array" ref="G30">(($D$8-$O$5)/$D$31)*D30</f>
      </c>
      <c r="H30" s="104"/>
      <c r="I30" s="105"/>
      <c r="J30" s="105"/>
      <c r="K30" s="105"/>
      <c r="L30" s="105"/>
      <c r="M30" s="106"/>
      <c r="N30" s="100"/>
      <c r="O30" s="100"/>
      <c r="P30" s="100"/>
      <c r="Q30" s="77"/>
      <c r="R30" s="14"/>
      <c r="S30" s="15"/>
    </row>
    <row r="31" ht="45.95" customHeight="1">
      <c r="A31" s="96"/>
      <c r="B31" t="s" s="111">
        <v>35</v>
      </c>
      <c r="C31" s="112"/>
      <c r="D31" s="102" cm="1">
        <f t="array" ref="D31">SUM(D23:D30)</f>
        <v>0</v>
      </c>
      <c r="E31" s="102"/>
      <c r="F31" s="102" cm="1">
        <f t="array" ref="F31">SUM(F23:F30)</f>
      </c>
      <c r="G31" s="103" cm="1">
        <f t="array" ref="G31">SUM(G23:H30)</f>
      </c>
      <c r="H31" s="104"/>
      <c r="I31" s="102" cm="1">
        <f t="array" ref="I31">SUM(I23:I30)</f>
        <v>0</v>
      </c>
      <c r="J31" s="102"/>
      <c r="K31" s="102" cm="1">
        <f t="array" ref="K31">O6</f>
      </c>
      <c r="L31" s="102" cm="1">
        <f t="array" ref="L31">O7</f>
      </c>
      <c r="M31" s="106"/>
      <c r="N31" s="100"/>
      <c r="O31" s="100"/>
      <c r="P31" s="100"/>
      <c r="Q31" s="77"/>
      <c r="R31" s="14"/>
      <c r="S31" s="15"/>
    </row>
    <row r="32" ht="45.95" customHeight="1">
      <c r="A32" s="113"/>
      <c r="B32" s="51"/>
      <c r="C32" s="58"/>
      <c r="D32" s="51"/>
      <c r="E32" s="51"/>
      <c r="F32" s="51"/>
      <c r="G32" s="51"/>
      <c r="H32" s="51"/>
      <c r="I32" s="114"/>
      <c r="J32" s="114"/>
      <c r="K32" s="114"/>
      <c r="L32" s="114"/>
      <c r="M32" s="115"/>
      <c r="N32" s="115"/>
      <c r="O32" s="115"/>
      <c r="P32" s="58"/>
      <c r="Q32" s="14"/>
      <c r="R32" s="14"/>
      <c r="S32" s="15"/>
    </row>
    <row r="33" ht="62.25" customHeight="1">
      <c r="A33" t="s" s="116">
        <v>47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73"/>
      <c r="Q33" s="118"/>
      <c r="R33" s="119"/>
      <c r="S33" s="15"/>
    </row>
    <row r="34" ht="56.45" customHeight="1">
      <c r="A34" s="120"/>
      <c r="B34" s="121"/>
      <c r="C34" s="121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56"/>
      <c r="O34" s="56"/>
      <c r="P34" s="56"/>
      <c r="Q34" s="14"/>
      <c r="R34" s="14"/>
      <c r="S34" s="15"/>
    </row>
    <row r="35" ht="73.5" customHeight="1">
      <c r="A35" s="122"/>
      <c r="B35" t="s" s="123">
        <v>48</v>
      </c>
      <c r="C35" s="124"/>
      <c r="D35" t="s" s="125">
        <v>49</v>
      </c>
      <c r="E35" t="s" s="126">
        <v>50</v>
      </c>
      <c r="F35" t="s" s="127">
        <v>51</v>
      </c>
      <c r="G35" t="s" s="126">
        <v>52</v>
      </c>
      <c r="H35" t="s" s="127">
        <v>53</v>
      </c>
      <c r="I35" t="s" s="128">
        <v>54</v>
      </c>
      <c r="J35" s="129"/>
      <c r="K35" t="s" s="130">
        <v>55</v>
      </c>
      <c r="L35" t="s" s="130">
        <v>56</v>
      </c>
      <c r="M35" t="s" s="130">
        <v>57</v>
      </c>
      <c r="N35" t="s" s="131">
        <v>58</v>
      </c>
      <c r="O35" s="132"/>
      <c r="P35" t="s" s="133">
        <v>59</v>
      </c>
      <c r="Q35" s="14"/>
      <c r="R35" s="14"/>
      <c r="S35" s="15"/>
    </row>
    <row r="36" ht="27" customHeight="1">
      <c r="A36" s="122"/>
      <c r="B36" s="134"/>
      <c r="C36" s="135"/>
      <c r="D36" s="136" cm="1">
        <f t="array" ref="D36">D5</f>
        <v>0</v>
      </c>
      <c r="E36" s="137" cm="1">
        <f t="array" ref="E36">H48</f>
        <v>0</v>
      </c>
      <c r="F36" s="137" cm="1">
        <f t="array" ref="F36">D8</f>
      </c>
      <c r="G36" s="137" cm="1">
        <f t="array" ref="G36">I48+K48</f>
        <v>0</v>
      </c>
      <c r="H36" s="138" cm="1">
        <f t="array" ref="H36">F48/E48</f>
      </c>
      <c r="I36" s="139" cm="1">
        <f t="array" ref="I36">H36-J6</f>
      </c>
      <c r="J36" s="140"/>
      <c r="K36" s="139" cm="1">
        <f t="array" ref="K36">K48/G36</f>
      </c>
      <c r="L36" s="140" cm="1">
        <f t="array" ref="L36">M48/G36</f>
      </c>
      <c r="M36" s="141" cm="1">
        <f t="array" ref="M36">N48/G36</f>
      </c>
      <c r="N36" s="142"/>
      <c r="O36" s="14"/>
      <c r="P36" s="14"/>
      <c r="Q36" s="14"/>
      <c r="R36" s="14"/>
      <c r="S36" s="15"/>
    </row>
    <row r="37" ht="15.6" customHeight="1">
      <c r="A37" s="55"/>
      <c r="B37" s="18"/>
      <c r="C37" s="18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14"/>
      <c r="O37" s="14"/>
      <c r="P37" s="14"/>
      <c r="Q37" s="14"/>
      <c r="R37" s="14"/>
      <c r="S37" s="15"/>
    </row>
    <row r="38" ht="15.6" customHeight="1">
      <c r="A38" s="55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"/>
      <c r="P38" s="14"/>
      <c r="Q38" s="14"/>
      <c r="R38" s="14"/>
      <c r="S38" s="15"/>
    </row>
    <row r="39" ht="57.95" customHeight="1">
      <c r="A39" s="122"/>
      <c r="B39" t="s" s="144">
        <v>60</v>
      </c>
      <c r="C39" s="145"/>
      <c r="D39" t="s" s="146">
        <v>40</v>
      </c>
      <c r="E39" t="s" s="146">
        <v>61</v>
      </c>
      <c r="F39" t="s" s="146">
        <v>62</v>
      </c>
      <c r="G39" t="s" s="146">
        <v>63</v>
      </c>
      <c r="H39" t="s" s="146">
        <v>64</v>
      </c>
      <c r="I39" t="s" s="146">
        <v>65</v>
      </c>
      <c r="J39" t="s" s="146">
        <v>66</v>
      </c>
      <c r="K39" t="s" s="146">
        <v>67</v>
      </c>
      <c r="L39" t="s" s="146">
        <v>68</v>
      </c>
      <c r="M39" t="s" s="146">
        <v>69</v>
      </c>
      <c r="N39" t="s" s="147">
        <v>70</v>
      </c>
      <c r="O39" s="13"/>
      <c r="P39" s="14"/>
      <c r="Q39" s="14"/>
      <c r="R39" t="s" s="148">
        <v>71</v>
      </c>
      <c r="S39" s="15"/>
    </row>
    <row r="40" ht="45.95" customHeight="1">
      <c r="A40" s="122"/>
      <c r="B40" s="149" cm="1">
        <f t="array" ref="B40">B23</f>
        <v>0</v>
      </c>
      <c r="C40" s="150"/>
      <c r="D40" s="151" cm="1">
        <f t="array" ref="D40">D23</f>
        <v>0</v>
      </c>
      <c r="E40" s="152"/>
      <c r="F40" s="153"/>
      <c r="G40" t="str" s="150" cm="1">
        <f t="array" ref="G40">_xlfn.IFERROR(F40/E40,"0")</f>
        <v>0</v>
      </c>
      <c r="H40" s="153"/>
      <c r="I40" s="153"/>
      <c r="J40" s="153"/>
      <c r="K40" s="153"/>
      <c r="L40" t="str" s="150" cm="1">
        <f t="array" ref="L40">_xlfn.IFERROR(K40/J40,"0")</f>
        <v>0</v>
      </c>
      <c r="M40" s="153"/>
      <c r="N40" s="154"/>
      <c r="O40" s="13"/>
      <c r="P40" s="14"/>
      <c r="Q40" s="14"/>
      <c r="R40" s="14"/>
      <c r="S40" s="15"/>
    </row>
    <row r="41" ht="45.95" customHeight="1">
      <c r="A41" s="122"/>
      <c r="B41" s="149" cm="1">
        <f t="array" ref="B41">B24</f>
        <v>0</v>
      </c>
      <c r="C41" s="150"/>
      <c r="D41" s="151" cm="1">
        <f t="array" ref="D41">D24</f>
        <v>0</v>
      </c>
      <c r="E41" s="152"/>
      <c r="F41" s="153"/>
      <c r="G41" t="str" s="150" cm="1">
        <f t="array" ref="G41">_xlfn.IFERROR(F41/E41,"0")</f>
        <v>0</v>
      </c>
      <c r="H41" s="153"/>
      <c r="I41" s="153"/>
      <c r="J41" s="153"/>
      <c r="K41" s="153"/>
      <c r="L41" t="str" s="150" cm="1">
        <f t="array" ref="L41">_xlfn.IFERROR(K41/J41,"0")</f>
        <v>0</v>
      </c>
      <c r="M41" s="153"/>
      <c r="N41" s="154"/>
      <c r="O41" s="13"/>
      <c r="P41" s="14"/>
      <c r="Q41" s="14"/>
      <c r="R41" s="14"/>
      <c r="S41" s="15"/>
    </row>
    <row r="42" ht="45.95" customHeight="1">
      <c r="A42" s="122"/>
      <c r="B42" s="149" cm="1">
        <f t="array" ref="B42">B25</f>
        <v>0</v>
      </c>
      <c r="C42" s="150"/>
      <c r="D42" s="151" cm="1">
        <f t="array" ref="D42">D25</f>
        <v>0</v>
      </c>
      <c r="E42" s="152"/>
      <c r="F42" s="153"/>
      <c r="G42" t="str" s="150" cm="1">
        <f t="array" ref="G42">_xlfn.IFERROR(F42/E42,"0")</f>
        <v>0</v>
      </c>
      <c r="H42" s="153"/>
      <c r="I42" s="153"/>
      <c r="J42" s="153"/>
      <c r="K42" s="153"/>
      <c r="L42" t="str" s="150" cm="1">
        <f t="array" ref="L42">_xlfn.IFERROR(K42/J42,"0")</f>
        <v>0</v>
      </c>
      <c r="M42" s="153"/>
      <c r="N42" s="154"/>
      <c r="O42" s="13"/>
      <c r="P42" s="14"/>
      <c r="Q42" s="14"/>
      <c r="R42" s="14"/>
      <c r="S42" s="15"/>
    </row>
    <row r="43" ht="45.95" customHeight="1">
      <c r="A43" s="122"/>
      <c r="B43" s="149" cm="1">
        <f t="array" ref="B43">B26</f>
        <v>0</v>
      </c>
      <c r="C43" s="153"/>
      <c r="D43" s="151" cm="1">
        <f t="array" ref="D43">D26</f>
        <v>0</v>
      </c>
      <c r="E43" s="152"/>
      <c r="F43" s="153"/>
      <c r="G43" t="str" s="150" cm="1">
        <f t="array" ref="G43">_xlfn.IFERROR(F43/E43,"0")</f>
        <v>0</v>
      </c>
      <c r="H43" s="153"/>
      <c r="I43" s="153"/>
      <c r="J43" s="153"/>
      <c r="K43" s="153"/>
      <c r="L43" t="str" s="150" cm="1">
        <f t="array" ref="L43">_xlfn.IFERROR(K43/J43,"0")</f>
        <v>0</v>
      </c>
      <c r="M43" s="153"/>
      <c r="N43" s="154"/>
      <c r="O43" s="13"/>
      <c r="P43" s="14"/>
      <c r="Q43" s="14"/>
      <c r="R43" s="14"/>
      <c r="S43" s="15"/>
    </row>
    <row r="44" ht="45.95" customHeight="1">
      <c r="A44" s="122"/>
      <c r="B44" s="149" cm="1">
        <f t="array" ref="B44">B27</f>
        <v>0</v>
      </c>
      <c r="C44" s="153"/>
      <c r="D44" s="151" cm="1">
        <f t="array" ref="D44">D27</f>
        <v>0</v>
      </c>
      <c r="E44" s="152"/>
      <c r="F44" s="153"/>
      <c r="G44" t="str" s="150" cm="1">
        <f t="array" ref="G44">_xlfn.IFERROR(F44/E44,"0")</f>
        <v>0</v>
      </c>
      <c r="H44" s="153"/>
      <c r="I44" s="153"/>
      <c r="J44" s="153"/>
      <c r="K44" s="153"/>
      <c r="L44" t="str" s="150" cm="1">
        <f t="array" ref="L44">_xlfn.IFERROR(K44/J44,"0")</f>
        <v>0</v>
      </c>
      <c r="M44" s="153"/>
      <c r="N44" s="154"/>
      <c r="O44" s="13"/>
      <c r="P44" s="14"/>
      <c r="Q44" s="14"/>
      <c r="R44" s="14"/>
      <c r="S44" s="15"/>
    </row>
    <row r="45" ht="45.95" customHeight="1">
      <c r="A45" s="122"/>
      <c r="B45" s="149" cm="1">
        <f t="array" ref="B45">B28</f>
        <v>0</v>
      </c>
      <c r="C45" s="153"/>
      <c r="D45" s="151" cm="1">
        <f t="array" ref="D45">D28</f>
        <v>0</v>
      </c>
      <c r="E45" s="152"/>
      <c r="F45" s="153"/>
      <c r="G45" t="str" s="150" cm="1">
        <f t="array" ref="G45">_xlfn.IFERROR(F45/E45,"0")</f>
        <v>0</v>
      </c>
      <c r="H45" s="153"/>
      <c r="I45" s="153"/>
      <c r="J45" s="153"/>
      <c r="K45" s="153"/>
      <c r="L45" t="str" s="150" cm="1">
        <f t="array" ref="L45">_xlfn.IFERROR(K45/J45,"0")</f>
        <v>0</v>
      </c>
      <c r="M45" s="153"/>
      <c r="N45" s="154"/>
      <c r="O45" s="13"/>
      <c r="P45" s="14"/>
      <c r="Q45" s="14"/>
      <c r="R45" s="14"/>
      <c r="S45" s="15"/>
    </row>
    <row r="46" ht="45.95" customHeight="1">
      <c r="A46" s="122"/>
      <c r="B46" s="149" cm="1">
        <f t="array" ref="B46">B29</f>
        <v>0</v>
      </c>
      <c r="C46" s="153"/>
      <c r="D46" s="151" cm="1">
        <f t="array" ref="D46">D29</f>
        <v>0</v>
      </c>
      <c r="E46" s="152"/>
      <c r="F46" s="153"/>
      <c r="G46" t="str" s="150" cm="1">
        <f t="array" ref="G46">_xlfn.IFERROR(F46/E46,"0")</f>
        <v>0</v>
      </c>
      <c r="H46" s="153"/>
      <c r="I46" s="153"/>
      <c r="J46" s="153"/>
      <c r="K46" s="153"/>
      <c r="L46" t="str" s="150" cm="1">
        <f t="array" ref="L46">_xlfn.IFERROR(K46/J46,"0")</f>
        <v>0</v>
      </c>
      <c r="M46" s="153"/>
      <c r="N46" s="154"/>
      <c r="O46" s="13"/>
      <c r="P46" s="14"/>
      <c r="Q46" s="14"/>
      <c r="R46" s="14"/>
      <c r="S46" s="15"/>
    </row>
    <row r="47" ht="45.95" customHeight="1">
      <c r="A47" s="122"/>
      <c r="B47" s="149" cm="1">
        <f t="array" ref="B47">B30</f>
        <v>0</v>
      </c>
      <c r="C47" s="153"/>
      <c r="D47" s="151" cm="1">
        <f t="array" ref="D47">D30</f>
        <v>0</v>
      </c>
      <c r="E47" s="152"/>
      <c r="F47" s="153"/>
      <c r="G47" t="str" s="150" cm="1">
        <f t="array" ref="G47">_xlfn.IFERROR(F47/E47,"0")</f>
        <v>0</v>
      </c>
      <c r="H47" s="153"/>
      <c r="I47" s="153"/>
      <c r="J47" s="153"/>
      <c r="K47" s="153"/>
      <c r="L47" t="str" s="150" cm="1">
        <f t="array" ref="L47">_xlfn.IFERROR(K47/J47,"0")</f>
        <v>0</v>
      </c>
      <c r="M47" s="153"/>
      <c r="N47" s="154"/>
      <c r="O47" s="13"/>
      <c r="P47" s="14"/>
      <c r="Q47" s="14"/>
      <c r="R47" s="14"/>
      <c r="S47" s="15"/>
    </row>
    <row r="48" ht="45.95" customHeight="1">
      <c r="A48" s="155"/>
      <c r="B48" t="s" s="156">
        <v>35</v>
      </c>
      <c r="C48" s="157"/>
      <c r="D48" s="158" cm="1">
        <f t="array" ref="D48">SUM(D40:D42)</f>
        <v>0</v>
      </c>
      <c r="E48" s="159" cm="1">
        <f t="array" ref="E48">SUM(E40:E47)</f>
        <v>0</v>
      </c>
      <c r="F48" s="159" cm="1">
        <f t="array" ref="F48">SUM(F40:F47)</f>
        <v>0</v>
      </c>
      <c r="G48" t="str" s="157" cm="1">
        <f t="array" ref="G48">_xlfn.IFERROR(F48/E48,"0")</f>
        <v>0</v>
      </c>
      <c r="H48" s="159" cm="1">
        <f t="array" ref="H48">SUM(H40:H47)</f>
        <v>0</v>
      </c>
      <c r="I48" s="159" cm="1">
        <f t="array" ref="I48">SUM(I40:I47)</f>
        <v>0</v>
      </c>
      <c r="J48" s="159" cm="1">
        <f t="array" ref="J48">SUM(J40:J47)</f>
        <v>0</v>
      </c>
      <c r="K48" s="159" cm="1">
        <f t="array" ref="K48">SUM(K40:K47)</f>
        <v>0</v>
      </c>
      <c r="L48" t="str" s="157" cm="1">
        <f t="array" ref="L48">_xlfn.IFERROR(K48/J48,"0")</f>
        <v>0</v>
      </c>
      <c r="M48" s="159" cm="1">
        <f t="array" ref="M48">SUM(M40:M47)</f>
        <v>0</v>
      </c>
      <c r="N48" s="159" cm="1">
        <f t="array" ref="N48">SUM(N40:N47)</f>
        <v>0</v>
      </c>
      <c r="O48" s="160"/>
      <c r="P48" s="161"/>
      <c r="Q48" s="162">
        <v>3</v>
      </c>
      <c r="R48" s="161"/>
      <c r="S48" s="163"/>
    </row>
  </sheetData>
  <mergeCells count="90">
    <mergeCell ref="N12:O12"/>
    <mergeCell ref="B42:C42"/>
    <mergeCell ref="B41:C41"/>
    <mergeCell ref="B39:C39"/>
    <mergeCell ref="B40:C40"/>
    <mergeCell ref="B35:C36"/>
    <mergeCell ref="I35:J35"/>
    <mergeCell ref="I36:J36"/>
    <mergeCell ref="B25:C25"/>
    <mergeCell ref="B26:C26"/>
    <mergeCell ref="B27:C27"/>
    <mergeCell ref="B28:C28"/>
    <mergeCell ref="B29:C29"/>
    <mergeCell ref="D25:E25"/>
    <mergeCell ref="D26:E26"/>
    <mergeCell ref="D27:E27"/>
    <mergeCell ref="C1:E1"/>
    <mergeCell ref="B4:D4"/>
    <mergeCell ref="B5:C5"/>
    <mergeCell ref="B6:C6"/>
    <mergeCell ref="B7:C7"/>
    <mergeCell ref="B48:C48"/>
    <mergeCell ref="L10:M10"/>
    <mergeCell ref="N10:O10"/>
    <mergeCell ref="B11:E11"/>
    <mergeCell ref="A33:P33"/>
    <mergeCell ref="M22:P31"/>
    <mergeCell ref="B22:C22"/>
    <mergeCell ref="B23:C23"/>
    <mergeCell ref="B24:C24"/>
    <mergeCell ref="B30:C30"/>
    <mergeCell ref="B31:C31"/>
    <mergeCell ref="L12:M12"/>
    <mergeCell ref="L11:M11"/>
    <mergeCell ref="N11:O11"/>
    <mergeCell ref="L14:M14"/>
    <mergeCell ref="N14:O14"/>
    <mergeCell ref="L8:O8"/>
    <mergeCell ref="L4:N4"/>
    <mergeCell ref="L5:M5"/>
    <mergeCell ref="L6:M6"/>
    <mergeCell ref="L7:M7"/>
    <mergeCell ref="G11:J11"/>
    <mergeCell ref="D12:E12"/>
    <mergeCell ref="D13:E13"/>
    <mergeCell ref="I12:J12"/>
    <mergeCell ref="G4:J4"/>
    <mergeCell ref="G5:I5"/>
    <mergeCell ref="G6:I6"/>
    <mergeCell ref="G7:I7"/>
    <mergeCell ref="G8:I8"/>
    <mergeCell ref="I30:J30"/>
    <mergeCell ref="I31:J31"/>
    <mergeCell ref="D24:E24"/>
    <mergeCell ref="D30:E30"/>
    <mergeCell ref="D31:E31"/>
    <mergeCell ref="G31:H31"/>
    <mergeCell ref="D28:E28"/>
    <mergeCell ref="D29:E29"/>
    <mergeCell ref="O1:P1"/>
    <mergeCell ref="A2:P2"/>
    <mergeCell ref="I24:J24"/>
    <mergeCell ref="G22:H22"/>
    <mergeCell ref="B12:C12"/>
    <mergeCell ref="D22:E22"/>
    <mergeCell ref="D23:E23"/>
    <mergeCell ref="G9:J9"/>
    <mergeCell ref="B8:C8"/>
    <mergeCell ref="I22:J22"/>
    <mergeCell ref="I23:J23"/>
    <mergeCell ref="B13:C13"/>
    <mergeCell ref="G12:H12"/>
    <mergeCell ref="I25:J25"/>
    <mergeCell ref="I26:J26"/>
    <mergeCell ref="I27:J27"/>
    <mergeCell ref="I28:J28"/>
    <mergeCell ref="I29:J29"/>
    <mergeCell ref="B47:C47"/>
    <mergeCell ref="B46:C46"/>
    <mergeCell ref="B45:C45"/>
    <mergeCell ref="B44:C44"/>
    <mergeCell ref="B43:C43"/>
    <mergeCell ref="G30:H30"/>
    <mergeCell ref="G29:H29"/>
    <mergeCell ref="G28:H28"/>
    <mergeCell ref="G27:H27"/>
    <mergeCell ref="G26:H26"/>
    <mergeCell ref="G25:H25"/>
    <mergeCell ref="G24:H24"/>
    <mergeCell ref="G23:H23"/>
  </mergeCells>
  <pageMargins left="0.25" right="0.25" top="0.32" bottom="0.29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HR39"/>
  <sheetViews>
    <sheetView workbookViewId="0" showGridLines="0" defaultGridColor="1"/>
  </sheetViews>
  <sheetFormatPr defaultColWidth="16.1667" defaultRowHeight="54.75" customHeight="1" outlineLevelRow="0" outlineLevelCol="0"/>
  <cols>
    <col min="1" max="226" width="16.1719" style="164" customWidth="1"/>
    <col min="227" max="16384" width="16.1719" style="164" customWidth="1"/>
  </cols>
  <sheetData>
    <row r="1" ht="94.5" customHeight="1">
      <c r="A1" s="165"/>
      <c r="B1" s="166"/>
      <c r="C1" t="s" s="167">
        <v>73</v>
      </c>
      <c r="D1" s="168"/>
      <c r="E1" s="168"/>
      <c r="F1" s="168"/>
      <c r="G1" s="168"/>
      <c r="H1" s="169"/>
      <c r="I1" t="s" s="170">
        <v>1</v>
      </c>
      <c r="J1" s="171"/>
      <c r="K1" t="s" s="172">
        <v>2</v>
      </c>
      <c r="L1" s="173"/>
      <c r="M1" s="174"/>
      <c r="N1" t="s" s="175">
        <v>4</v>
      </c>
      <c r="O1" s="176"/>
      <c r="P1" s="177"/>
      <c r="Q1" s="178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80"/>
    </row>
    <row r="2" ht="54.75" customHeight="1">
      <c r="A2" t="s" s="181">
        <v>74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3"/>
      <c r="Q2" s="184"/>
      <c r="R2" s="185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7"/>
    </row>
    <row r="3" ht="54.75" customHeight="1">
      <c r="A3" s="188"/>
      <c r="B3" s="189"/>
      <c r="C3" s="189"/>
      <c r="D3" s="189"/>
      <c r="E3" s="189"/>
      <c r="F3" s="189"/>
      <c r="G3" s="190"/>
      <c r="H3" s="190"/>
      <c r="I3" s="189"/>
      <c r="J3" s="189"/>
      <c r="K3" s="189"/>
      <c r="L3" s="189"/>
      <c r="M3" s="189"/>
      <c r="N3" s="189"/>
      <c r="O3" s="189"/>
      <c r="P3" s="189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7"/>
    </row>
    <row r="4" ht="54.75" customHeight="1">
      <c r="A4" s="191"/>
      <c r="B4" t="s" s="192">
        <v>40</v>
      </c>
      <c r="C4" t="s" s="193">
        <v>75</v>
      </c>
      <c r="D4" t="s" s="193">
        <v>76</v>
      </c>
      <c r="E4" t="s" s="193">
        <v>77</v>
      </c>
      <c r="F4" t="s" s="194">
        <v>78</v>
      </c>
      <c r="G4" s="195"/>
      <c r="H4" s="196"/>
      <c r="I4" t="s" s="197">
        <v>79</v>
      </c>
      <c r="J4" s="198"/>
      <c r="K4" s="198"/>
      <c r="L4" s="198"/>
      <c r="M4" s="198"/>
      <c r="N4" s="198"/>
      <c r="O4" s="198"/>
      <c r="P4" s="199"/>
      <c r="Q4" s="195"/>
      <c r="R4" s="200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  <c r="FD4" s="186"/>
      <c r="FE4" s="186"/>
      <c r="FF4" s="186"/>
      <c r="FG4" s="186"/>
      <c r="FH4" s="186"/>
      <c r="FI4" s="186"/>
      <c r="FJ4" s="186"/>
      <c r="FK4" s="186"/>
      <c r="FL4" s="186"/>
      <c r="FM4" s="186"/>
      <c r="FN4" s="186"/>
      <c r="FO4" s="186"/>
      <c r="FP4" s="186"/>
      <c r="FQ4" s="186"/>
      <c r="FR4" s="186"/>
      <c r="FS4" s="186"/>
      <c r="FT4" s="186"/>
      <c r="FU4" s="186"/>
      <c r="FV4" s="186"/>
      <c r="FW4" s="186"/>
      <c r="FX4" s="186"/>
      <c r="FY4" s="186"/>
      <c r="FZ4" s="186"/>
      <c r="GA4" s="186"/>
      <c r="GB4" s="186"/>
      <c r="GC4" s="186"/>
      <c r="GD4" s="186"/>
      <c r="GE4" s="186"/>
      <c r="GF4" s="186"/>
      <c r="GG4" s="186"/>
      <c r="GH4" s="186"/>
      <c r="GI4" s="186"/>
      <c r="GJ4" s="186"/>
      <c r="GK4" s="186"/>
      <c r="GL4" s="186"/>
      <c r="GM4" s="186"/>
      <c r="GN4" s="186"/>
      <c r="GO4" s="186"/>
      <c r="GP4" s="186"/>
      <c r="GQ4" s="186"/>
      <c r="GR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  <c r="HL4" s="186"/>
      <c r="HM4" s="186"/>
      <c r="HN4" s="186"/>
      <c r="HO4" s="186"/>
      <c r="HP4" s="186"/>
      <c r="HQ4" s="186"/>
      <c r="HR4" s="187"/>
    </row>
    <row r="5" ht="54.75" customHeight="1">
      <c r="A5" s="191"/>
      <c r="B5" s="201" cm="1">
        <f t="array" ref="B5">'DOMINGO'!D31</f>
        <v>0</v>
      </c>
      <c r="C5" s="202" cm="1">
        <f t="array" ref="C5">'DOMINGO'!D5</f>
        <v>0</v>
      </c>
      <c r="D5" s="202" cm="1">
        <f t="array" ref="D5">'DOMINGO'!D8</f>
      </c>
      <c r="E5" s="202" cm="1">
        <f t="array" ref="E5">'DOMINGO'!D12</f>
      </c>
      <c r="F5" s="203" cm="1">
        <f t="array" ref="F5">'DOMINGO'!D13</f>
      </c>
      <c r="G5" s="195"/>
      <c r="H5" s="196"/>
      <c r="I5" s="204"/>
      <c r="J5" s="205"/>
      <c r="K5" s="205"/>
      <c r="L5" s="205"/>
      <c r="M5" s="205"/>
      <c r="N5" s="205"/>
      <c r="O5" s="205"/>
      <c r="P5" s="206"/>
      <c r="Q5" s="195"/>
      <c r="R5" s="200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/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/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86"/>
      <c r="GI5" s="186"/>
      <c r="GJ5" s="186"/>
      <c r="GK5" s="186"/>
      <c r="GL5" s="186"/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/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7"/>
    </row>
    <row r="6" ht="54.75" customHeight="1">
      <c r="A6" s="207"/>
      <c r="B6" s="208"/>
      <c r="C6" s="208"/>
      <c r="D6" s="208"/>
      <c r="E6" s="208"/>
      <c r="F6" s="208"/>
      <c r="G6" s="186"/>
      <c r="H6" s="186"/>
      <c r="I6" s="208"/>
      <c r="J6" s="208"/>
      <c r="K6" s="208"/>
      <c r="L6" s="208"/>
      <c r="M6" s="208"/>
      <c r="N6" s="208"/>
      <c r="O6" s="208"/>
      <c r="P6" s="208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/>
      <c r="ET6" s="186"/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/>
      <c r="HC6" s="186"/>
      <c r="HD6" s="186"/>
      <c r="HE6" s="186"/>
      <c r="HF6" s="186"/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7"/>
    </row>
    <row r="7" ht="54.75" customHeight="1">
      <c r="A7" s="191"/>
      <c r="B7" t="s" s="209">
        <v>80</v>
      </c>
      <c r="C7" s="210"/>
      <c r="D7" s="210"/>
      <c r="E7" s="210"/>
      <c r="F7" s="211"/>
      <c r="G7" s="195"/>
      <c r="H7" s="196"/>
      <c r="I7" t="s" s="209">
        <v>81</v>
      </c>
      <c r="J7" s="210"/>
      <c r="K7" s="210"/>
      <c r="L7" s="210"/>
      <c r="M7" s="210"/>
      <c r="N7" s="210"/>
      <c r="O7" s="210"/>
      <c r="P7" s="211"/>
      <c r="Q7" s="195"/>
      <c r="R7" s="212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  <c r="DM7" s="186"/>
      <c r="DN7" s="186"/>
      <c r="DO7" s="186"/>
      <c r="DP7" s="186"/>
      <c r="DQ7" s="186"/>
      <c r="DR7" s="186"/>
      <c r="DS7" s="186"/>
      <c r="DT7" s="186"/>
      <c r="DU7" s="186"/>
      <c r="DV7" s="186"/>
      <c r="DW7" s="186"/>
      <c r="DX7" s="186"/>
      <c r="DY7" s="186"/>
      <c r="DZ7" s="186"/>
      <c r="EA7" s="186"/>
      <c r="EB7" s="186"/>
      <c r="EC7" s="186"/>
      <c r="ED7" s="186"/>
      <c r="EE7" s="186"/>
      <c r="EF7" s="186"/>
      <c r="EG7" s="186"/>
      <c r="EH7" s="186"/>
      <c r="EI7" s="186"/>
      <c r="EJ7" s="186"/>
      <c r="EK7" s="186"/>
      <c r="EL7" s="186"/>
      <c r="EM7" s="186"/>
      <c r="EN7" s="186"/>
      <c r="EO7" s="186"/>
      <c r="EP7" s="186"/>
      <c r="EQ7" s="186"/>
      <c r="ER7" s="186"/>
      <c r="ES7" s="186"/>
      <c r="ET7" s="186"/>
      <c r="EU7" s="186"/>
      <c r="EV7" s="186"/>
      <c r="EW7" s="186"/>
      <c r="EX7" s="186"/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6"/>
      <c r="FS7" s="186"/>
      <c r="FT7" s="186"/>
      <c r="FU7" s="186"/>
      <c r="FV7" s="186"/>
      <c r="FW7" s="186"/>
      <c r="FX7" s="186"/>
      <c r="FY7" s="186"/>
      <c r="FZ7" s="186"/>
      <c r="GA7" s="186"/>
      <c r="GB7" s="186"/>
      <c r="GC7" s="186"/>
      <c r="GD7" s="186"/>
      <c r="GE7" s="186"/>
      <c r="GF7" s="186"/>
      <c r="GG7" s="186"/>
      <c r="GH7" s="186"/>
      <c r="GI7" s="186"/>
      <c r="GJ7" s="186"/>
      <c r="GK7" s="186"/>
      <c r="GL7" s="186"/>
      <c r="GM7" s="186"/>
      <c r="GN7" s="186"/>
      <c r="GO7" s="186"/>
      <c r="GP7" s="186"/>
      <c r="GQ7" s="186"/>
      <c r="GR7" s="186"/>
      <c r="GS7" s="186"/>
      <c r="GT7" s="186"/>
      <c r="GU7" s="186"/>
      <c r="GV7" s="186"/>
      <c r="GW7" s="186"/>
      <c r="GX7" s="186"/>
      <c r="GY7" s="186"/>
      <c r="GZ7" s="186"/>
      <c r="HA7" s="186"/>
      <c r="HB7" s="186"/>
      <c r="HC7" s="186"/>
      <c r="HD7" s="186"/>
      <c r="HE7" s="186"/>
      <c r="HF7" s="186"/>
      <c r="HG7" s="186"/>
      <c r="HH7" s="186"/>
      <c r="HI7" s="186"/>
      <c r="HJ7" s="186"/>
      <c r="HK7" s="186"/>
      <c r="HL7" s="186"/>
      <c r="HM7" s="186"/>
      <c r="HN7" s="186"/>
      <c r="HO7" s="186"/>
      <c r="HP7" s="186"/>
      <c r="HQ7" s="186"/>
      <c r="HR7" s="187"/>
    </row>
    <row r="8" ht="54.75" customHeight="1">
      <c r="A8" s="207"/>
      <c r="B8" s="213"/>
      <c r="C8" s="213"/>
      <c r="D8" s="213"/>
      <c r="E8" s="213"/>
      <c r="F8" s="213"/>
      <c r="G8" s="186"/>
      <c r="H8" s="186"/>
      <c r="I8" s="213"/>
      <c r="J8" s="213"/>
      <c r="K8" s="213"/>
      <c r="L8" s="213"/>
      <c r="M8" s="213"/>
      <c r="N8" s="213"/>
      <c r="O8" s="213"/>
      <c r="P8" s="213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  <c r="DM8" s="186"/>
      <c r="DN8" s="186"/>
      <c r="DO8" s="186"/>
      <c r="DP8" s="186"/>
      <c r="DQ8" s="186"/>
      <c r="DR8" s="186"/>
      <c r="DS8" s="186"/>
      <c r="DT8" s="186"/>
      <c r="DU8" s="186"/>
      <c r="DV8" s="186"/>
      <c r="DW8" s="186"/>
      <c r="DX8" s="186"/>
      <c r="DY8" s="186"/>
      <c r="DZ8" s="186"/>
      <c r="EA8" s="186"/>
      <c r="EB8" s="186"/>
      <c r="EC8" s="186"/>
      <c r="ED8" s="186"/>
      <c r="EE8" s="186"/>
      <c r="EF8" s="186"/>
      <c r="EG8" s="186"/>
      <c r="EH8" s="186"/>
      <c r="EI8" s="186"/>
      <c r="EJ8" s="186"/>
      <c r="EK8" s="186"/>
      <c r="EL8" s="186"/>
      <c r="EM8" s="186"/>
      <c r="EN8" s="186"/>
      <c r="EO8" s="186"/>
      <c r="EP8" s="186"/>
      <c r="EQ8" s="186"/>
      <c r="ER8" s="186"/>
      <c r="ES8" s="186"/>
      <c r="ET8" s="186"/>
      <c r="EU8" s="186"/>
      <c r="EV8" s="186"/>
      <c r="EW8" s="186"/>
      <c r="EX8" s="186"/>
      <c r="EY8" s="186"/>
      <c r="EZ8" s="186"/>
      <c r="FA8" s="186"/>
      <c r="FB8" s="186"/>
      <c r="FC8" s="186"/>
      <c r="FD8" s="186"/>
      <c r="FE8" s="186"/>
      <c r="FF8" s="186"/>
      <c r="FG8" s="186"/>
      <c r="FH8" s="186"/>
      <c r="FI8" s="186"/>
      <c r="FJ8" s="186"/>
      <c r="FK8" s="186"/>
      <c r="FL8" s="186"/>
      <c r="FM8" s="186"/>
      <c r="FN8" s="186"/>
      <c r="FO8" s="186"/>
      <c r="FP8" s="186"/>
      <c r="FQ8" s="186"/>
      <c r="FR8" s="186"/>
      <c r="FS8" s="186"/>
      <c r="FT8" s="186"/>
      <c r="FU8" s="186"/>
      <c r="FV8" s="186"/>
      <c r="FW8" s="186"/>
      <c r="FX8" s="186"/>
      <c r="FY8" s="186"/>
      <c r="FZ8" s="186"/>
      <c r="GA8" s="186"/>
      <c r="GB8" s="186"/>
      <c r="GC8" s="186"/>
      <c r="GD8" s="186"/>
      <c r="GE8" s="186"/>
      <c r="GF8" s="186"/>
      <c r="GG8" s="186"/>
      <c r="GH8" s="186"/>
      <c r="GI8" s="186"/>
      <c r="GJ8" s="186"/>
      <c r="GK8" s="186"/>
      <c r="GL8" s="186"/>
      <c r="GM8" s="186"/>
      <c r="GN8" s="186"/>
      <c r="GO8" s="186"/>
      <c r="GP8" s="186"/>
      <c r="GQ8" s="186"/>
      <c r="GR8" s="186"/>
      <c r="GS8" s="186"/>
      <c r="GT8" s="186"/>
      <c r="GU8" s="186"/>
      <c r="GV8" s="186"/>
      <c r="GW8" s="186"/>
      <c r="GX8" s="186"/>
      <c r="GY8" s="186"/>
      <c r="GZ8" s="186"/>
      <c r="HA8" s="186"/>
      <c r="HB8" s="186"/>
      <c r="HC8" s="186"/>
      <c r="HD8" s="186"/>
      <c r="HE8" s="186"/>
      <c r="HF8" s="186"/>
      <c r="HG8" s="186"/>
      <c r="HH8" s="186"/>
      <c r="HI8" s="186"/>
      <c r="HJ8" s="186"/>
      <c r="HK8" s="186"/>
      <c r="HL8" s="186"/>
      <c r="HM8" s="186"/>
      <c r="HN8" s="186"/>
      <c r="HO8" s="186"/>
      <c r="HP8" s="186"/>
      <c r="HQ8" s="186"/>
      <c r="HR8" s="187"/>
    </row>
    <row r="9" ht="54.75" customHeight="1">
      <c r="A9" s="207"/>
      <c r="B9" t="s" s="214">
        <v>82</v>
      </c>
      <c r="C9" s="215"/>
      <c r="D9" s="215"/>
      <c r="E9" s="215"/>
      <c r="F9" s="216"/>
      <c r="G9" s="186"/>
      <c r="H9" s="186"/>
      <c r="I9" t="s" s="217">
        <v>83</v>
      </c>
      <c r="J9" s="218"/>
      <c r="K9" s="218"/>
      <c r="L9" s="218"/>
      <c r="M9" s="218"/>
      <c r="N9" s="218"/>
      <c r="O9" s="218"/>
      <c r="P9" s="215"/>
      <c r="Q9" s="186"/>
      <c r="R9" s="215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7"/>
    </row>
    <row r="10" ht="54.75" customHeight="1">
      <c r="A10" s="207"/>
      <c r="B10" t="s" s="214">
        <v>84</v>
      </c>
      <c r="C10" s="215"/>
      <c r="D10" s="215"/>
      <c r="E10" s="215"/>
      <c r="F10" s="219"/>
      <c r="G10" s="186"/>
      <c r="H10" s="186"/>
      <c r="I10" t="s" s="220">
        <v>85</v>
      </c>
      <c r="J10" s="221"/>
      <c r="K10" s="221"/>
      <c r="L10" s="221"/>
      <c r="M10" s="221"/>
      <c r="N10" s="221"/>
      <c r="O10" s="221"/>
      <c r="P10" s="222"/>
      <c r="Q10" s="186"/>
      <c r="R10" s="222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  <c r="DM10" s="186"/>
      <c r="DN10" s="186"/>
      <c r="DO10" s="186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6"/>
      <c r="EP10" s="186"/>
      <c r="EQ10" s="186"/>
      <c r="ER10" s="186"/>
      <c r="ES10" s="186"/>
      <c r="ET10" s="186"/>
      <c r="EU10" s="186"/>
      <c r="EV10" s="186"/>
      <c r="EW10" s="186"/>
      <c r="EX10" s="186"/>
      <c r="EY10" s="186"/>
      <c r="EZ10" s="186"/>
      <c r="FA10" s="186"/>
      <c r="FB10" s="186"/>
      <c r="FC10" s="186"/>
      <c r="FD10" s="186"/>
      <c r="FE10" s="186"/>
      <c r="FF10" s="186"/>
      <c r="FG10" s="186"/>
      <c r="FH10" s="186"/>
      <c r="FI10" s="186"/>
      <c r="FJ10" s="186"/>
      <c r="FK10" s="186"/>
      <c r="FL10" s="186"/>
      <c r="FM10" s="186"/>
      <c r="FN10" s="186"/>
      <c r="FO10" s="186"/>
      <c r="FP10" s="186"/>
      <c r="FQ10" s="186"/>
      <c r="FR10" s="186"/>
      <c r="FS10" s="186"/>
      <c r="FT10" s="186"/>
      <c r="FU10" s="186"/>
      <c r="FV10" s="186"/>
      <c r="FW10" s="186"/>
      <c r="FX10" s="186"/>
      <c r="FY10" s="186"/>
      <c r="FZ10" s="186"/>
      <c r="GA10" s="186"/>
      <c r="GB10" s="186"/>
      <c r="GC10" s="186"/>
      <c r="GD10" s="186"/>
      <c r="GE10" s="186"/>
      <c r="GF10" s="186"/>
      <c r="GG10" s="186"/>
      <c r="GH10" s="186"/>
      <c r="GI10" s="186"/>
      <c r="GJ10" s="186"/>
      <c r="GK10" s="186"/>
      <c r="GL10" s="186"/>
      <c r="GM10" s="186"/>
      <c r="GN10" s="186"/>
      <c r="GO10" s="186"/>
      <c r="GP10" s="186"/>
      <c r="GQ10" s="186"/>
      <c r="GR10" s="186"/>
      <c r="GS10" s="186"/>
      <c r="GT10" s="186"/>
      <c r="GU10" s="186"/>
      <c r="GV10" s="186"/>
      <c r="GW10" s="186"/>
      <c r="GX10" s="186"/>
      <c r="GY10" s="186"/>
      <c r="GZ10" s="186"/>
      <c r="HA10" s="186"/>
      <c r="HB10" s="186"/>
      <c r="HC10" s="186"/>
      <c r="HD10" s="186"/>
      <c r="HE10" s="186"/>
      <c r="HF10" s="186"/>
      <c r="HG10" s="186"/>
      <c r="HH10" s="186"/>
      <c r="HI10" s="186"/>
      <c r="HJ10" s="186"/>
      <c r="HK10" s="186"/>
      <c r="HL10" s="186"/>
      <c r="HM10" s="186"/>
      <c r="HN10" s="186"/>
      <c r="HO10" s="186"/>
      <c r="HP10" s="186"/>
      <c r="HQ10" s="186"/>
      <c r="HR10" s="187"/>
    </row>
    <row r="11" ht="54.75" customHeight="1">
      <c r="A11" s="207"/>
      <c r="B11" t="s" s="214">
        <v>86</v>
      </c>
      <c r="C11" s="215"/>
      <c r="D11" s="215"/>
      <c r="E11" s="215"/>
      <c r="F11" s="219"/>
      <c r="G11" s="186"/>
      <c r="H11" s="186"/>
      <c r="I11" t="s" s="220">
        <v>87</v>
      </c>
      <c r="J11" s="221"/>
      <c r="K11" s="221"/>
      <c r="L11" s="221"/>
      <c r="M11" s="221"/>
      <c r="N11" s="221"/>
      <c r="O11" s="221"/>
      <c r="P11" s="222"/>
      <c r="Q11" s="186"/>
      <c r="R11" s="222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/>
      <c r="ER11" s="186"/>
      <c r="ES11" s="186"/>
      <c r="ET11" s="186"/>
      <c r="EU11" s="186"/>
      <c r="EV11" s="186"/>
      <c r="EW11" s="186"/>
      <c r="EX11" s="186"/>
      <c r="EY11" s="186"/>
      <c r="EZ11" s="186"/>
      <c r="FA11" s="186"/>
      <c r="FB11" s="186"/>
      <c r="FC11" s="186"/>
      <c r="FD11" s="186"/>
      <c r="FE11" s="186"/>
      <c r="FF11" s="186"/>
      <c r="FG11" s="186"/>
      <c r="FH11" s="186"/>
      <c r="FI11" s="186"/>
      <c r="FJ11" s="186"/>
      <c r="FK11" s="186"/>
      <c r="FL11" s="186"/>
      <c r="FM11" s="186"/>
      <c r="FN11" s="186"/>
      <c r="FO11" s="186"/>
      <c r="FP11" s="186"/>
      <c r="FQ11" s="186"/>
      <c r="FR11" s="186"/>
      <c r="FS11" s="186"/>
      <c r="FT11" s="186"/>
      <c r="FU11" s="186"/>
      <c r="FV11" s="186"/>
      <c r="FW11" s="186"/>
      <c r="FX11" s="186"/>
      <c r="FY11" s="186"/>
      <c r="FZ11" s="186"/>
      <c r="GA11" s="186"/>
      <c r="GB11" s="186"/>
      <c r="GC11" s="186"/>
      <c r="GD11" s="186"/>
      <c r="GE11" s="186"/>
      <c r="GF11" s="186"/>
      <c r="GG11" s="186"/>
      <c r="GH11" s="186"/>
      <c r="GI11" s="186"/>
      <c r="GJ11" s="186"/>
      <c r="GK11" s="186"/>
      <c r="GL11" s="186"/>
      <c r="GM11" s="186"/>
      <c r="GN11" s="186"/>
      <c r="GO11" s="186"/>
      <c r="GP11" s="186"/>
      <c r="GQ11" s="186"/>
      <c r="GR11" s="186"/>
      <c r="GS11" s="186"/>
      <c r="GT11" s="186"/>
      <c r="GU11" s="186"/>
      <c r="GV11" s="186"/>
      <c r="GW11" s="186"/>
      <c r="GX11" s="186"/>
      <c r="GY11" s="186"/>
      <c r="GZ11" s="186"/>
      <c r="HA11" s="186"/>
      <c r="HB11" s="186"/>
      <c r="HC11" s="186"/>
      <c r="HD11" s="186"/>
      <c r="HE11" s="186"/>
      <c r="HF11" s="186"/>
      <c r="HG11" s="186"/>
      <c r="HH11" s="186"/>
      <c r="HI11" s="186"/>
      <c r="HJ11" s="186"/>
      <c r="HK11" s="186"/>
      <c r="HL11" s="186"/>
      <c r="HM11" s="186"/>
      <c r="HN11" s="186"/>
      <c r="HO11" s="186"/>
      <c r="HP11" s="186"/>
      <c r="HQ11" s="186"/>
      <c r="HR11" s="187"/>
    </row>
    <row r="12" ht="54.75" customHeight="1">
      <c r="A12" s="207"/>
      <c r="B12" s="186"/>
      <c r="C12" s="215"/>
      <c r="D12" s="215"/>
      <c r="E12" s="215"/>
      <c r="F12" s="223"/>
      <c r="G12" s="186"/>
      <c r="H12" s="186"/>
      <c r="I12" t="s" s="220">
        <v>88</v>
      </c>
      <c r="J12" s="221"/>
      <c r="K12" s="221"/>
      <c r="L12" s="221"/>
      <c r="M12" s="221"/>
      <c r="N12" s="221"/>
      <c r="O12" s="221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87"/>
    </row>
    <row r="13" ht="54.75" customHeight="1">
      <c r="A13" s="207"/>
      <c r="B13" s="224"/>
      <c r="C13" s="224"/>
      <c r="D13" s="224"/>
      <c r="E13" s="224"/>
      <c r="F13" s="224"/>
      <c r="G13" s="186"/>
      <c r="H13" s="186"/>
      <c r="I13" s="225"/>
      <c r="J13" s="226"/>
      <c r="K13" s="226"/>
      <c r="L13" s="226"/>
      <c r="M13" s="226"/>
      <c r="N13" s="226"/>
      <c r="O13" s="226"/>
      <c r="P13" s="226"/>
      <c r="Q13" s="186"/>
      <c r="R13" s="222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6"/>
      <c r="EO13" s="186"/>
      <c r="EP13" s="186"/>
      <c r="EQ13" s="186"/>
      <c r="ER13" s="186"/>
      <c r="ES13" s="186"/>
      <c r="ET13" s="186"/>
      <c r="EU13" s="186"/>
      <c r="EV13" s="186"/>
      <c r="EW13" s="186"/>
      <c r="EX13" s="186"/>
      <c r="EY13" s="186"/>
      <c r="EZ13" s="186"/>
      <c r="FA13" s="186"/>
      <c r="FB13" s="186"/>
      <c r="FC13" s="186"/>
      <c r="FD13" s="186"/>
      <c r="FE13" s="186"/>
      <c r="FF13" s="186"/>
      <c r="FG13" s="186"/>
      <c r="FH13" s="186"/>
      <c r="FI13" s="186"/>
      <c r="FJ13" s="186"/>
      <c r="FK13" s="186"/>
      <c r="FL13" s="186"/>
      <c r="FM13" s="186"/>
      <c r="FN13" s="186"/>
      <c r="FO13" s="186"/>
      <c r="FP13" s="186"/>
      <c r="FQ13" s="186"/>
      <c r="FR13" s="186"/>
      <c r="FS13" s="186"/>
      <c r="FT13" s="186"/>
      <c r="FU13" s="186"/>
      <c r="FV13" s="186"/>
      <c r="FW13" s="186"/>
      <c r="FX13" s="186"/>
      <c r="FY13" s="186"/>
      <c r="FZ13" s="186"/>
      <c r="GA13" s="186"/>
      <c r="GB13" s="186"/>
      <c r="GC13" s="186"/>
      <c r="GD13" s="186"/>
      <c r="GE13" s="186"/>
      <c r="GF13" s="186"/>
      <c r="GG13" s="186"/>
      <c r="GH13" s="186"/>
      <c r="GI13" s="186"/>
      <c r="GJ13" s="186"/>
      <c r="GK13" s="186"/>
      <c r="GL13" s="186"/>
      <c r="GM13" s="186"/>
      <c r="GN13" s="186"/>
      <c r="GO13" s="186"/>
      <c r="GP13" s="186"/>
      <c r="GQ13" s="186"/>
      <c r="GR13" s="186"/>
      <c r="GS13" s="186"/>
      <c r="GT13" s="186"/>
      <c r="GU13" s="186"/>
      <c r="GV13" s="186"/>
      <c r="GW13" s="186"/>
      <c r="GX13" s="186"/>
      <c r="GY13" s="186"/>
      <c r="GZ13" s="186"/>
      <c r="HA13" s="186"/>
      <c r="HB13" s="186"/>
      <c r="HC13" s="186"/>
      <c r="HD13" s="186"/>
      <c r="HE13" s="186"/>
      <c r="HF13" s="186"/>
      <c r="HG13" s="186"/>
      <c r="HH13" s="186"/>
      <c r="HI13" s="186"/>
      <c r="HJ13" s="186"/>
      <c r="HK13" s="186"/>
      <c r="HL13" s="186"/>
      <c r="HM13" s="186"/>
      <c r="HN13" s="186"/>
      <c r="HO13" s="186"/>
      <c r="HP13" s="186"/>
      <c r="HQ13" s="186"/>
      <c r="HR13" s="187"/>
    </row>
    <row r="14" ht="54.75" customHeight="1">
      <c r="A14" s="191"/>
      <c r="B14" t="s" s="209">
        <v>89</v>
      </c>
      <c r="C14" s="210"/>
      <c r="D14" s="210"/>
      <c r="E14" s="210"/>
      <c r="F14" s="211"/>
      <c r="G14" s="195"/>
      <c r="H14" s="227"/>
      <c r="I14" t="s" s="228">
        <v>90</v>
      </c>
      <c r="J14" s="229"/>
      <c r="K14" s="229"/>
      <c r="L14" s="229"/>
      <c r="M14" s="229"/>
      <c r="N14" s="229"/>
      <c r="O14" s="229"/>
      <c r="P14" s="230"/>
      <c r="Q14" s="231"/>
      <c r="R14" s="222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/>
      <c r="EQ14" s="186"/>
      <c r="ER14" s="186"/>
      <c r="ES14" s="186"/>
      <c r="ET14" s="186"/>
      <c r="EU14" s="186"/>
      <c r="EV14" s="186"/>
      <c r="EW14" s="186"/>
      <c r="EX14" s="186"/>
      <c r="EY14" s="186"/>
      <c r="EZ14" s="186"/>
      <c r="FA14" s="186"/>
      <c r="FB14" s="186"/>
      <c r="FC14" s="186"/>
      <c r="FD14" s="186"/>
      <c r="FE14" s="186"/>
      <c r="FF14" s="186"/>
      <c r="FG14" s="186"/>
      <c r="FH14" s="186"/>
      <c r="FI14" s="186"/>
      <c r="FJ14" s="186"/>
      <c r="FK14" s="186"/>
      <c r="FL14" s="186"/>
      <c r="FM14" s="186"/>
      <c r="FN14" s="186"/>
      <c r="FO14" s="186"/>
      <c r="FP14" s="186"/>
      <c r="FQ14" s="186"/>
      <c r="FR14" s="186"/>
      <c r="FS14" s="186"/>
      <c r="FT14" s="186"/>
      <c r="FU14" s="186"/>
      <c r="FV14" s="186"/>
      <c r="FW14" s="186"/>
      <c r="FX14" s="186"/>
      <c r="FY14" s="186"/>
      <c r="FZ14" s="186"/>
      <c r="GA14" s="186"/>
      <c r="GB14" s="186"/>
      <c r="GC14" s="186"/>
      <c r="GD14" s="186"/>
      <c r="GE14" s="186"/>
      <c r="GF14" s="186"/>
      <c r="GG14" s="186"/>
      <c r="GH14" s="186"/>
      <c r="GI14" s="186"/>
      <c r="GJ14" s="186"/>
      <c r="GK14" s="186"/>
      <c r="GL14" s="186"/>
      <c r="GM14" s="186"/>
      <c r="GN14" s="186"/>
      <c r="GO14" s="186"/>
      <c r="GP14" s="186"/>
      <c r="GQ14" s="186"/>
      <c r="GR14" s="186"/>
      <c r="GS14" s="186"/>
      <c r="GT14" s="186"/>
      <c r="GU14" s="186"/>
      <c r="GV14" s="186"/>
      <c r="GW14" s="186"/>
      <c r="GX14" s="186"/>
      <c r="GY14" s="186"/>
      <c r="GZ14" s="186"/>
      <c r="HA14" s="186"/>
      <c r="HB14" s="186"/>
      <c r="HC14" s="186"/>
      <c r="HD14" s="186"/>
      <c r="HE14" s="186"/>
      <c r="HF14" s="186"/>
      <c r="HG14" s="186"/>
      <c r="HH14" s="186"/>
      <c r="HI14" s="186"/>
      <c r="HJ14" s="186"/>
      <c r="HK14" s="186"/>
      <c r="HL14" s="186"/>
      <c r="HM14" s="186"/>
      <c r="HN14" s="186"/>
      <c r="HO14" s="186"/>
      <c r="HP14" s="186"/>
      <c r="HQ14" s="186"/>
      <c r="HR14" s="187"/>
    </row>
    <row r="15" ht="54.75" customHeight="1">
      <c r="A15" s="207"/>
      <c r="B15" s="213"/>
      <c r="C15" s="213"/>
      <c r="D15" s="213"/>
      <c r="E15" s="213"/>
      <c r="F15" s="213"/>
      <c r="G15" s="186"/>
      <c r="H15" s="186"/>
      <c r="I15" s="190"/>
      <c r="J15" s="190"/>
      <c r="K15" s="190"/>
      <c r="L15" s="190"/>
      <c r="M15" s="190"/>
      <c r="N15" s="190"/>
      <c r="O15" s="190"/>
      <c r="P15" s="190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7"/>
    </row>
    <row r="16" ht="54.75" customHeight="1">
      <c r="A16" s="207"/>
      <c r="B16" t="s" s="220">
        <v>91</v>
      </c>
      <c r="C16" s="221"/>
      <c r="D16" s="221"/>
      <c r="E16" s="221"/>
      <c r="F16" s="232"/>
      <c r="G16" s="212"/>
      <c r="H16" s="186"/>
      <c r="I16" t="s" s="233">
        <v>92</v>
      </c>
      <c r="J16" s="234"/>
      <c r="K16" s="235"/>
      <c r="L16" t="s" s="233">
        <v>93</v>
      </c>
      <c r="M16" s="234"/>
      <c r="N16" s="235"/>
      <c r="O16" t="s" s="233">
        <v>94</v>
      </c>
      <c r="P16" s="234"/>
      <c r="Q16" s="186"/>
      <c r="R16" s="234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6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/>
      <c r="EB16" s="186"/>
      <c r="EC16" s="186"/>
      <c r="ED16" s="186"/>
      <c r="EE16" s="186"/>
      <c r="EF16" s="186"/>
      <c r="EG16" s="186"/>
      <c r="EH16" s="186"/>
      <c r="EI16" s="186"/>
      <c r="EJ16" s="186"/>
      <c r="EK16" s="186"/>
      <c r="EL16" s="186"/>
      <c r="EM16" s="186"/>
      <c r="EN16" s="186"/>
      <c r="EO16" s="186"/>
      <c r="EP16" s="186"/>
      <c r="EQ16" s="186"/>
      <c r="ER16" s="186"/>
      <c r="ES16" s="186"/>
      <c r="ET16" s="186"/>
      <c r="EU16" s="186"/>
      <c r="EV16" s="186"/>
      <c r="EW16" s="186"/>
      <c r="EX16" s="186"/>
      <c r="EY16" s="186"/>
      <c r="EZ16" s="186"/>
      <c r="FA16" s="186"/>
      <c r="FB16" s="186"/>
      <c r="FC16" s="186"/>
      <c r="FD16" s="186"/>
      <c r="FE16" s="186"/>
      <c r="FF16" s="186"/>
      <c r="FG16" s="186"/>
      <c r="FH16" s="186"/>
      <c r="FI16" s="186"/>
      <c r="FJ16" s="186"/>
      <c r="FK16" s="186"/>
      <c r="FL16" s="186"/>
      <c r="FM16" s="186"/>
      <c r="FN16" s="186"/>
      <c r="FO16" s="186"/>
      <c r="FP16" s="186"/>
      <c r="FQ16" s="186"/>
      <c r="FR16" s="186"/>
      <c r="FS16" s="186"/>
      <c r="FT16" s="186"/>
      <c r="FU16" s="186"/>
      <c r="FV16" s="186"/>
      <c r="FW16" s="186"/>
      <c r="FX16" s="186"/>
      <c r="FY16" s="186"/>
      <c r="FZ16" s="186"/>
      <c r="GA16" s="186"/>
      <c r="GB16" s="186"/>
      <c r="GC16" s="186"/>
      <c r="GD16" s="186"/>
      <c r="GE16" s="186"/>
      <c r="GF16" s="186"/>
      <c r="GG16" s="186"/>
      <c r="GH16" s="186"/>
      <c r="GI16" s="186"/>
      <c r="GJ16" s="186"/>
      <c r="GK16" s="186"/>
      <c r="GL16" s="186"/>
      <c r="GM16" s="186"/>
      <c r="GN16" s="186"/>
      <c r="GO16" s="186"/>
      <c r="GP16" s="186"/>
      <c r="GQ16" s="186"/>
      <c r="GR16" s="186"/>
      <c r="GS16" s="186"/>
      <c r="GT16" s="186"/>
      <c r="GU16" s="186"/>
      <c r="GV16" s="186"/>
      <c r="GW16" s="186"/>
      <c r="GX16" s="186"/>
      <c r="GY16" s="186"/>
      <c r="GZ16" s="186"/>
      <c r="HA16" s="186"/>
      <c r="HB16" s="186"/>
      <c r="HC16" s="186"/>
      <c r="HD16" s="186"/>
      <c r="HE16" s="186"/>
      <c r="HF16" s="186"/>
      <c r="HG16" s="186"/>
      <c r="HH16" s="186"/>
      <c r="HI16" s="186"/>
      <c r="HJ16" s="186"/>
      <c r="HK16" s="186"/>
      <c r="HL16" s="186"/>
      <c r="HM16" s="186"/>
      <c r="HN16" s="186"/>
      <c r="HO16" s="186"/>
      <c r="HP16" s="186"/>
      <c r="HQ16" s="186"/>
      <c r="HR16" s="187"/>
    </row>
    <row r="17" ht="54.75" customHeight="1">
      <c r="A17" s="207"/>
      <c r="B17" t="s" s="220">
        <v>95</v>
      </c>
      <c r="C17" s="221"/>
      <c r="D17" s="221"/>
      <c r="E17" s="221"/>
      <c r="F17" s="232"/>
      <c r="G17" s="212"/>
      <c r="H17" s="186"/>
      <c r="I17" t="s" s="233">
        <v>96</v>
      </c>
      <c r="J17" s="234"/>
      <c r="K17" s="234"/>
      <c r="L17" t="s" s="233">
        <v>97</v>
      </c>
      <c r="M17" s="234"/>
      <c r="N17" s="234"/>
      <c r="O17" t="s" s="233">
        <v>98</v>
      </c>
      <c r="P17" s="234"/>
      <c r="Q17" s="186"/>
      <c r="R17" s="234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  <c r="DM17" s="186"/>
      <c r="DN17" s="186"/>
      <c r="DO17" s="186"/>
      <c r="DP17" s="186"/>
      <c r="DQ17" s="186"/>
      <c r="DR17" s="186"/>
      <c r="DS17" s="186"/>
      <c r="DT17" s="186"/>
      <c r="DU17" s="186"/>
      <c r="DV17" s="186"/>
      <c r="DW17" s="186"/>
      <c r="DX17" s="186"/>
      <c r="DY17" s="186"/>
      <c r="DZ17" s="186"/>
      <c r="EA17" s="186"/>
      <c r="EB17" s="186"/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186"/>
      <c r="EU17" s="186"/>
      <c r="EV17" s="186"/>
      <c r="EW17" s="186"/>
      <c r="EX17" s="186"/>
      <c r="EY17" s="186"/>
      <c r="EZ17" s="186"/>
      <c r="FA17" s="186"/>
      <c r="FB17" s="186"/>
      <c r="FC17" s="186"/>
      <c r="FD17" s="186"/>
      <c r="FE17" s="186"/>
      <c r="FF17" s="186"/>
      <c r="FG17" s="186"/>
      <c r="FH17" s="186"/>
      <c r="FI17" s="186"/>
      <c r="FJ17" s="186"/>
      <c r="FK17" s="186"/>
      <c r="FL17" s="186"/>
      <c r="FM17" s="186"/>
      <c r="FN17" s="186"/>
      <c r="FO17" s="186"/>
      <c r="FP17" s="186"/>
      <c r="FQ17" s="186"/>
      <c r="FR17" s="186"/>
      <c r="FS17" s="186"/>
      <c r="FT17" s="186"/>
      <c r="FU17" s="186"/>
      <c r="FV17" s="186"/>
      <c r="FW17" s="186"/>
      <c r="FX17" s="186"/>
      <c r="FY17" s="186"/>
      <c r="FZ17" s="186"/>
      <c r="GA17" s="186"/>
      <c r="GB17" s="186"/>
      <c r="GC17" s="186"/>
      <c r="GD17" s="186"/>
      <c r="GE17" s="186"/>
      <c r="GF17" s="186"/>
      <c r="GG17" s="186"/>
      <c r="GH17" s="186"/>
      <c r="GI17" s="186"/>
      <c r="GJ17" s="186"/>
      <c r="GK17" s="186"/>
      <c r="GL17" s="186"/>
      <c r="GM17" s="186"/>
      <c r="GN17" s="186"/>
      <c r="GO17" s="186"/>
      <c r="GP17" s="186"/>
      <c r="GQ17" s="186"/>
      <c r="GR17" s="186"/>
      <c r="GS17" s="186"/>
      <c r="GT17" s="186"/>
      <c r="GU17" s="186"/>
      <c r="GV17" s="186"/>
      <c r="GW17" s="186"/>
      <c r="GX17" s="186"/>
      <c r="GY17" s="186"/>
      <c r="GZ17" s="186"/>
      <c r="HA17" s="186"/>
      <c r="HB17" s="186"/>
      <c r="HC17" s="186"/>
      <c r="HD17" s="186"/>
      <c r="HE17" s="186"/>
      <c r="HF17" s="186"/>
      <c r="HG17" s="186"/>
      <c r="HH17" s="186"/>
      <c r="HI17" s="186"/>
      <c r="HJ17" s="186"/>
      <c r="HK17" s="186"/>
      <c r="HL17" s="186"/>
      <c r="HM17" s="186"/>
      <c r="HN17" s="186"/>
      <c r="HO17" s="186"/>
      <c r="HP17" s="186"/>
      <c r="HQ17" s="186"/>
      <c r="HR17" s="187"/>
    </row>
    <row r="18" ht="54.75" customHeight="1">
      <c r="A18" s="207"/>
      <c r="B18" t="s" s="220">
        <v>99</v>
      </c>
      <c r="C18" s="221"/>
      <c r="D18" s="221"/>
      <c r="E18" s="221"/>
      <c r="F18" s="232"/>
      <c r="G18" s="186"/>
      <c r="H18" s="186"/>
      <c r="I18" t="s" s="214">
        <v>100</v>
      </c>
      <c r="J18" s="215"/>
      <c r="K18" s="236"/>
      <c r="L18" t="s" s="214">
        <v>101</v>
      </c>
      <c r="M18" s="215"/>
      <c r="N18" s="236"/>
      <c r="O18" t="s" s="214">
        <v>102</v>
      </c>
      <c r="P18" s="215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  <c r="DM18" s="186"/>
      <c r="DN18" s="186"/>
      <c r="DO18" s="186"/>
      <c r="DP18" s="186"/>
      <c r="DQ18" s="186"/>
      <c r="DR18" s="186"/>
      <c r="DS18" s="186"/>
      <c r="DT18" s="186"/>
      <c r="DU18" s="186"/>
      <c r="DV18" s="186"/>
      <c r="DW18" s="186"/>
      <c r="DX18" s="186"/>
      <c r="DY18" s="186"/>
      <c r="DZ18" s="186"/>
      <c r="EA18" s="186"/>
      <c r="EB18" s="186"/>
      <c r="EC18" s="186"/>
      <c r="ED18" s="186"/>
      <c r="EE18" s="186"/>
      <c r="EF18" s="186"/>
      <c r="EG18" s="186"/>
      <c r="EH18" s="186"/>
      <c r="EI18" s="186"/>
      <c r="EJ18" s="186"/>
      <c r="EK18" s="186"/>
      <c r="EL18" s="186"/>
      <c r="EM18" s="186"/>
      <c r="EN18" s="186"/>
      <c r="EO18" s="186"/>
      <c r="EP18" s="186"/>
      <c r="EQ18" s="186"/>
      <c r="ER18" s="186"/>
      <c r="ES18" s="186"/>
      <c r="ET18" s="186"/>
      <c r="EU18" s="186"/>
      <c r="EV18" s="186"/>
      <c r="EW18" s="186"/>
      <c r="EX18" s="186"/>
      <c r="EY18" s="186"/>
      <c r="EZ18" s="186"/>
      <c r="FA18" s="186"/>
      <c r="FB18" s="186"/>
      <c r="FC18" s="186"/>
      <c r="FD18" s="186"/>
      <c r="FE18" s="186"/>
      <c r="FF18" s="186"/>
      <c r="FG18" s="186"/>
      <c r="FH18" s="186"/>
      <c r="FI18" s="186"/>
      <c r="FJ18" s="186"/>
      <c r="FK18" s="186"/>
      <c r="FL18" s="186"/>
      <c r="FM18" s="186"/>
      <c r="FN18" s="186"/>
      <c r="FO18" s="186"/>
      <c r="FP18" s="186"/>
      <c r="FQ18" s="186"/>
      <c r="FR18" s="186"/>
      <c r="FS18" s="186"/>
      <c r="FT18" s="186"/>
      <c r="FU18" s="186"/>
      <c r="FV18" s="186"/>
      <c r="FW18" s="186"/>
      <c r="FX18" s="186"/>
      <c r="FY18" s="186"/>
      <c r="FZ18" s="186"/>
      <c r="GA18" s="186"/>
      <c r="GB18" s="186"/>
      <c r="GC18" s="186"/>
      <c r="GD18" s="186"/>
      <c r="GE18" s="186"/>
      <c r="GF18" s="186"/>
      <c r="GG18" s="186"/>
      <c r="GH18" s="186"/>
      <c r="GI18" s="186"/>
      <c r="GJ18" s="186"/>
      <c r="GK18" s="186"/>
      <c r="GL18" s="186"/>
      <c r="GM18" s="186"/>
      <c r="GN18" s="186"/>
      <c r="GO18" s="186"/>
      <c r="GP18" s="186"/>
      <c r="GQ18" s="186"/>
      <c r="GR18" s="186"/>
      <c r="GS18" s="186"/>
      <c r="GT18" s="186"/>
      <c r="GU18" s="186"/>
      <c r="GV18" s="186"/>
      <c r="GW18" s="186"/>
      <c r="GX18" s="186"/>
      <c r="GY18" s="186"/>
      <c r="GZ18" s="186"/>
      <c r="HA18" s="186"/>
      <c r="HB18" s="186"/>
      <c r="HC18" s="186"/>
      <c r="HD18" s="186"/>
      <c r="HE18" s="186"/>
      <c r="HF18" s="186"/>
      <c r="HG18" s="186"/>
      <c r="HH18" s="186"/>
      <c r="HI18" s="186"/>
      <c r="HJ18" s="186"/>
      <c r="HK18" s="186"/>
      <c r="HL18" s="186"/>
      <c r="HM18" s="186"/>
      <c r="HN18" s="186"/>
      <c r="HO18" s="186"/>
      <c r="HP18" s="186"/>
      <c r="HQ18" s="186"/>
      <c r="HR18" s="187"/>
    </row>
    <row r="19" ht="54.75" customHeight="1">
      <c r="A19" s="207"/>
      <c r="B19" t="s" s="220">
        <v>103</v>
      </c>
      <c r="C19" s="221"/>
      <c r="D19" s="221"/>
      <c r="E19" s="221"/>
      <c r="F19" s="237"/>
      <c r="G19" s="186"/>
      <c r="H19" s="186"/>
      <c r="I19" t="s" s="214">
        <v>104</v>
      </c>
      <c r="J19" s="215"/>
      <c r="K19" s="236"/>
      <c r="L19" t="s" s="214">
        <v>105</v>
      </c>
      <c r="M19" s="215"/>
      <c r="N19" s="236"/>
      <c r="O19" t="s" s="214">
        <v>106</v>
      </c>
      <c r="P19" s="215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  <c r="DM19" s="186"/>
      <c r="DN19" s="186"/>
      <c r="DO19" s="186"/>
      <c r="DP19" s="186"/>
      <c r="DQ19" s="186"/>
      <c r="DR19" s="186"/>
      <c r="DS19" s="186"/>
      <c r="DT19" s="186"/>
      <c r="DU19" s="186"/>
      <c r="DV19" s="186"/>
      <c r="DW19" s="186"/>
      <c r="DX19" s="186"/>
      <c r="DY19" s="186"/>
      <c r="DZ19" s="186"/>
      <c r="EA19" s="186"/>
      <c r="EB19" s="186"/>
      <c r="EC19" s="186"/>
      <c r="ED19" s="186"/>
      <c r="EE19" s="186"/>
      <c r="EF19" s="186"/>
      <c r="EG19" s="186"/>
      <c r="EH19" s="186"/>
      <c r="EI19" s="186"/>
      <c r="EJ19" s="186"/>
      <c r="EK19" s="186"/>
      <c r="EL19" s="186"/>
      <c r="EM19" s="186"/>
      <c r="EN19" s="186"/>
      <c r="EO19" s="186"/>
      <c r="EP19" s="186"/>
      <c r="EQ19" s="186"/>
      <c r="ER19" s="186"/>
      <c r="ES19" s="186"/>
      <c r="ET19" s="186"/>
      <c r="EU19" s="186"/>
      <c r="EV19" s="186"/>
      <c r="EW19" s="186"/>
      <c r="EX19" s="186"/>
      <c r="EY19" s="186"/>
      <c r="EZ19" s="186"/>
      <c r="FA19" s="186"/>
      <c r="FB19" s="186"/>
      <c r="FC19" s="186"/>
      <c r="FD19" s="186"/>
      <c r="FE19" s="186"/>
      <c r="FF19" s="186"/>
      <c r="FG19" s="186"/>
      <c r="FH19" s="186"/>
      <c r="FI19" s="186"/>
      <c r="FJ19" s="186"/>
      <c r="FK19" s="186"/>
      <c r="FL19" s="186"/>
      <c r="FM19" s="186"/>
      <c r="FN19" s="186"/>
      <c r="FO19" s="186"/>
      <c r="FP19" s="186"/>
      <c r="FQ19" s="186"/>
      <c r="FR19" s="186"/>
      <c r="FS19" s="186"/>
      <c r="FT19" s="186"/>
      <c r="FU19" s="186"/>
      <c r="FV19" s="186"/>
      <c r="FW19" s="186"/>
      <c r="FX19" s="186"/>
      <c r="FY19" s="186"/>
      <c r="FZ19" s="186"/>
      <c r="GA19" s="186"/>
      <c r="GB19" s="186"/>
      <c r="GC19" s="186"/>
      <c r="GD19" s="186"/>
      <c r="GE19" s="186"/>
      <c r="GF19" s="186"/>
      <c r="GG19" s="186"/>
      <c r="GH19" s="186"/>
      <c r="GI19" s="186"/>
      <c r="GJ19" s="186"/>
      <c r="GK19" s="186"/>
      <c r="GL19" s="186"/>
      <c r="GM19" s="186"/>
      <c r="GN19" s="186"/>
      <c r="GO19" s="186"/>
      <c r="GP19" s="186"/>
      <c r="GQ19" s="186"/>
      <c r="GR19" s="186"/>
      <c r="GS19" s="186"/>
      <c r="GT19" s="186"/>
      <c r="GU19" s="186"/>
      <c r="GV19" s="186"/>
      <c r="GW19" s="186"/>
      <c r="GX19" s="186"/>
      <c r="GY19" s="186"/>
      <c r="GZ19" s="186"/>
      <c r="HA19" s="186"/>
      <c r="HB19" s="186"/>
      <c r="HC19" s="186"/>
      <c r="HD19" s="186"/>
      <c r="HE19" s="186"/>
      <c r="HF19" s="186"/>
      <c r="HG19" s="186"/>
      <c r="HH19" s="186"/>
      <c r="HI19" s="186"/>
      <c r="HJ19" s="186"/>
      <c r="HK19" s="186"/>
      <c r="HL19" s="186"/>
      <c r="HM19" s="186"/>
      <c r="HN19" s="186"/>
      <c r="HO19" s="186"/>
      <c r="HP19" s="186"/>
      <c r="HQ19" s="186"/>
      <c r="HR19" s="187"/>
    </row>
    <row r="20" ht="54.75" customHeight="1">
      <c r="A20" s="207"/>
      <c r="B20" t="s" s="220">
        <v>107</v>
      </c>
      <c r="C20" s="221"/>
      <c r="D20" s="221"/>
      <c r="E20" s="221"/>
      <c r="F20" s="232"/>
      <c r="G20" s="186"/>
      <c r="H20" s="186"/>
      <c r="I20" t="s" s="214">
        <v>108</v>
      </c>
      <c r="J20" s="215"/>
      <c r="K20" s="236"/>
      <c r="L20" t="s" s="214">
        <v>109</v>
      </c>
      <c r="M20" s="215"/>
      <c r="N20" s="236"/>
      <c r="O20" t="s" s="214">
        <v>110</v>
      </c>
      <c r="P20" s="215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  <c r="DM20" s="186"/>
      <c r="DN20" s="186"/>
      <c r="DO20" s="186"/>
      <c r="DP20" s="186"/>
      <c r="DQ20" s="186"/>
      <c r="DR20" s="186"/>
      <c r="DS20" s="186"/>
      <c r="DT20" s="186"/>
      <c r="DU20" s="186"/>
      <c r="DV20" s="186"/>
      <c r="DW20" s="186"/>
      <c r="DX20" s="186"/>
      <c r="DY20" s="186"/>
      <c r="DZ20" s="186"/>
      <c r="EA20" s="186"/>
      <c r="EB20" s="186"/>
      <c r="EC20" s="186"/>
      <c r="ED20" s="186"/>
      <c r="EE20" s="186"/>
      <c r="EF20" s="186"/>
      <c r="EG20" s="186"/>
      <c r="EH20" s="186"/>
      <c r="EI20" s="186"/>
      <c r="EJ20" s="186"/>
      <c r="EK20" s="186"/>
      <c r="EL20" s="186"/>
      <c r="EM20" s="186"/>
      <c r="EN20" s="186"/>
      <c r="EO20" s="186"/>
      <c r="EP20" s="186"/>
      <c r="EQ20" s="186"/>
      <c r="ER20" s="186"/>
      <c r="ES20" s="186"/>
      <c r="ET20" s="186"/>
      <c r="EU20" s="186"/>
      <c r="EV20" s="186"/>
      <c r="EW20" s="186"/>
      <c r="EX20" s="186"/>
      <c r="EY20" s="186"/>
      <c r="EZ20" s="186"/>
      <c r="FA20" s="186"/>
      <c r="FB20" s="186"/>
      <c r="FC20" s="186"/>
      <c r="FD20" s="186"/>
      <c r="FE20" s="186"/>
      <c r="FF20" s="186"/>
      <c r="FG20" s="186"/>
      <c r="FH20" s="186"/>
      <c r="FI20" s="186"/>
      <c r="FJ20" s="186"/>
      <c r="FK20" s="186"/>
      <c r="FL20" s="186"/>
      <c r="FM20" s="186"/>
      <c r="FN20" s="186"/>
      <c r="FO20" s="186"/>
      <c r="FP20" s="186"/>
      <c r="FQ20" s="186"/>
      <c r="FR20" s="186"/>
      <c r="FS20" s="186"/>
      <c r="FT20" s="186"/>
      <c r="FU20" s="186"/>
      <c r="FV20" s="186"/>
      <c r="FW20" s="186"/>
      <c r="FX20" s="186"/>
      <c r="FY20" s="186"/>
      <c r="FZ20" s="186"/>
      <c r="GA20" s="186"/>
      <c r="GB20" s="186"/>
      <c r="GC20" s="186"/>
      <c r="GD20" s="186"/>
      <c r="GE20" s="186"/>
      <c r="GF20" s="186"/>
      <c r="GG20" s="186"/>
      <c r="GH20" s="186"/>
      <c r="GI20" s="186"/>
      <c r="GJ20" s="186"/>
      <c r="GK20" s="186"/>
      <c r="GL20" s="186"/>
      <c r="GM20" s="186"/>
      <c r="GN20" s="186"/>
      <c r="GO20" s="186"/>
      <c r="GP20" s="186"/>
      <c r="GQ20" s="186"/>
      <c r="GR20" s="186"/>
      <c r="GS20" s="186"/>
      <c r="GT20" s="186"/>
      <c r="GU20" s="186"/>
      <c r="GV20" s="186"/>
      <c r="GW20" s="186"/>
      <c r="GX20" s="186"/>
      <c r="GY20" s="186"/>
      <c r="GZ20" s="186"/>
      <c r="HA20" s="186"/>
      <c r="HB20" s="186"/>
      <c r="HC20" s="186"/>
      <c r="HD20" s="186"/>
      <c r="HE20" s="186"/>
      <c r="HF20" s="186"/>
      <c r="HG20" s="186"/>
      <c r="HH20" s="186"/>
      <c r="HI20" s="186"/>
      <c r="HJ20" s="186"/>
      <c r="HK20" s="186"/>
      <c r="HL20" s="186"/>
      <c r="HM20" s="186"/>
      <c r="HN20" s="186"/>
      <c r="HO20" s="186"/>
      <c r="HP20" s="186"/>
      <c r="HQ20" s="186"/>
      <c r="HR20" s="187"/>
    </row>
    <row r="21" ht="54.75" customHeight="1">
      <c r="A21" s="207"/>
      <c r="B21" s="186"/>
      <c r="C21" s="186"/>
      <c r="D21" s="186"/>
      <c r="E21" s="186"/>
      <c r="F21" s="186"/>
      <c r="G21" s="186"/>
      <c r="H21" s="186"/>
      <c r="I21" t="s" s="214">
        <v>111</v>
      </c>
      <c r="J21" s="215"/>
      <c r="K21" s="236"/>
      <c r="L21" t="s" s="214">
        <v>112</v>
      </c>
      <c r="M21" s="215"/>
      <c r="N21" s="236"/>
      <c r="O21" t="s" s="214">
        <v>113</v>
      </c>
      <c r="P21" s="215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  <c r="EY21" s="186"/>
      <c r="EZ21" s="186"/>
      <c r="FA21" s="186"/>
      <c r="FB21" s="186"/>
      <c r="FC21" s="186"/>
      <c r="FD21" s="186"/>
      <c r="FE21" s="186"/>
      <c r="FF21" s="186"/>
      <c r="FG21" s="186"/>
      <c r="FH21" s="186"/>
      <c r="FI21" s="186"/>
      <c r="FJ21" s="186"/>
      <c r="FK21" s="186"/>
      <c r="FL21" s="186"/>
      <c r="FM21" s="186"/>
      <c r="FN21" s="186"/>
      <c r="FO21" s="186"/>
      <c r="FP21" s="186"/>
      <c r="FQ21" s="186"/>
      <c r="FR21" s="186"/>
      <c r="FS21" s="186"/>
      <c r="FT21" s="186"/>
      <c r="FU21" s="186"/>
      <c r="FV21" s="186"/>
      <c r="FW21" s="186"/>
      <c r="FX21" s="186"/>
      <c r="FY21" s="186"/>
      <c r="FZ21" s="186"/>
      <c r="GA21" s="186"/>
      <c r="GB21" s="186"/>
      <c r="GC21" s="186"/>
      <c r="GD21" s="186"/>
      <c r="GE21" s="186"/>
      <c r="GF21" s="186"/>
      <c r="GG21" s="186"/>
      <c r="GH21" s="186"/>
      <c r="GI21" s="186"/>
      <c r="GJ21" s="186"/>
      <c r="GK21" s="186"/>
      <c r="GL21" s="186"/>
      <c r="GM21" s="186"/>
      <c r="GN21" s="186"/>
      <c r="GO21" s="186"/>
      <c r="GP21" s="186"/>
      <c r="GQ21" s="186"/>
      <c r="GR21" s="186"/>
      <c r="GS21" s="186"/>
      <c r="GT21" s="186"/>
      <c r="GU21" s="186"/>
      <c r="GV21" s="186"/>
      <c r="GW21" s="186"/>
      <c r="GX21" s="186"/>
      <c r="GY21" s="186"/>
      <c r="GZ21" s="186"/>
      <c r="HA21" s="186"/>
      <c r="HB21" s="186"/>
      <c r="HC21" s="186"/>
      <c r="HD21" s="186"/>
      <c r="HE21" s="186"/>
      <c r="HF21" s="186"/>
      <c r="HG21" s="186"/>
      <c r="HH21" s="186"/>
      <c r="HI21" s="186"/>
      <c r="HJ21" s="186"/>
      <c r="HK21" s="186"/>
      <c r="HL21" s="186"/>
      <c r="HM21" s="186"/>
      <c r="HN21" s="186"/>
      <c r="HO21" s="186"/>
      <c r="HP21" s="186"/>
      <c r="HQ21" s="186"/>
      <c r="HR21" s="187"/>
    </row>
    <row r="22" ht="54.75" customHeight="1">
      <c r="A22" s="207"/>
      <c r="B22" s="186"/>
      <c r="C22" s="186"/>
      <c r="D22" s="186"/>
      <c r="E22" s="186"/>
      <c r="F22" s="186"/>
      <c r="G22" s="186"/>
      <c r="H22" s="186"/>
      <c r="I22" t="s" s="214">
        <v>114</v>
      </c>
      <c r="J22" s="215"/>
      <c r="K22" s="236"/>
      <c r="L22" t="s" s="214">
        <v>115</v>
      </c>
      <c r="M22" s="215"/>
      <c r="N22" s="238"/>
      <c r="O22" t="s" s="214">
        <v>116</v>
      </c>
      <c r="P22" s="215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  <c r="DM22" s="186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186"/>
      <c r="EU22" s="186"/>
      <c r="EV22" s="186"/>
      <c r="EW22" s="186"/>
      <c r="EX22" s="186"/>
      <c r="EY22" s="186"/>
      <c r="EZ22" s="186"/>
      <c r="FA22" s="186"/>
      <c r="FB22" s="186"/>
      <c r="FC22" s="186"/>
      <c r="FD22" s="186"/>
      <c r="FE22" s="186"/>
      <c r="FF22" s="186"/>
      <c r="FG22" s="186"/>
      <c r="FH22" s="186"/>
      <c r="FI22" s="186"/>
      <c r="FJ22" s="186"/>
      <c r="FK22" s="186"/>
      <c r="FL22" s="186"/>
      <c r="FM22" s="186"/>
      <c r="FN22" s="186"/>
      <c r="FO22" s="186"/>
      <c r="FP22" s="186"/>
      <c r="FQ22" s="186"/>
      <c r="FR22" s="186"/>
      <c r="FS22" s="186"/>
      <c r="FT22" s="186"/>
      <c r="FU22" s="186"/>
      <c r="FV22" s="186"/>
      <c r="FW22" s="186"/>
      <c r="FX22" s="186"/>
      <c r="FY22" s="186"/>
      <c r="FZ22" s="186"/>
      <c r="GA22" s="186"/>
      <c r="GB22" s="186"/>
      <c r="GC22" s="186"/>
      <c r="GD22" s="186"/>
      <c r="GE22" s="186"/>
      <c r="GF22" s="186"/>
      <c r="GG22" s="186"/>
      <c r="GH22" s="186"/>
      <c r="GI22" s="186"/>
      <c r="GJ22" s="186"/>
      <c r="GK22" s="186"/>
      <c r="GL22" s="186"/>
      <c r="GM22" s="186"/>
      <c r="GN22" s="186"/>
      <c r="GO22" s="186"/>
      <c r="GP22" s="186"/>
      <c r="GQ22" s="186"/>
      <c r="GR22" s="186"/>
      <c r="GS22" s="186"/>
      <c r="GT22" s="186"/>
      <c r="GU22" s="186"/>
      <c r="GV22" s="186"/>
      <c r="GW22" s="186"/>
      <c r="GX22" s="186"/>
      <c r="GY22" s="186"/>
      <c r="GZ22" s="186"/>
      <c r="HA22" s="186"/>
      <c r="HB22" s="186"/>
      <c r="HC22" s="186"/>
      <c r="HD22" s="186"/>
      <c r="HE22" s="186"/>
      <c r="HF22" s="186"/>
      <c r="HG22" s="186"/>
      <c r="HH22" s="186"/>
      <c r="HI22" s="186"/>
      <c r="HJ22" s="186"/>
      <c r="HK22" s="186"/>
      <c r="HL22" s="186"/>
      <c r="HM22" s="186"/>
      <c r="HN22" s="186"/>
      <c r="HO22" s="186"/>
      <c r="HP22" s="186"/>
      <c r="HQ22" s="186"/>
      <c r="HR22" s="187"/>
    </row>
    <row r="23" ht="54.75" customHeight="1">
      <c r="A23" s="207"/>
      <c r="B23" s="186"/>
      <c r="C23" s="186"/>
      <c r="D23" s="186"/>
      <c r="E23" s="186"/>
      <c r="F23" s="186"/>
      <c r="G23" s="186"/>
      <c r="H23" s="186"/>
      <c r="I23" s="186"/>
      <c r="J23" s="186"/>
      <c r="K23" s="236"/>
      <c r="L23" t="s" s="214">
        <v>117</v>
      </c>
      <c r="M23" s="215"/>
      <c r="N23" s="236"/>
      <c r="O23" t="s" s="214">
        <v>118</v>
      </c>
      <c r="P23" s="215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  <c r="DM23" s="186"/>
      <c r="DN23" s="186"/>
      <c r="DO23" s="186"/>
      <c r="DP23" s="186"/>
      <c r="DQ23" s="186"/>
      <c r="DR23" s="186"/>
      <c r="DS23" s="186"/>
      <c r="DT23" s="186"/>
      <c r="DU23" s="186"/>
      <c r="DV23" s="186"/>
      <c r="DW23" s="186"/>
      <c r="DX23" s="186"/>
      <c r="DY23" s="186"/>
      <c r="DZ23" s="186"/>
      <c r="EA23" s="186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  <c r="EY23" s="186"/>
      <c r="EZ23" s="186"/>
      <c r="FA23" s="186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  <c r="GR23" s="186"/>
      <c r="GS23" s="186"/>
      <c r="GT23" s="186"/>
      <c r="GU23" s="186"/>
      <c r="GV23" s="186"/>
      <c r="GW23" s="186"/>
      <c r="GX23" s="186"/>
      <c r="GY23" s="186"/>
      <c r="GZ23" s="186"/>
      <c r="HA23" s="186"/>
      <c r="HB23" s="186"/>
      <c r="HC23" s="186"/>
      <c r="HD23" s="186"/>
      <c r="HE23" s="186"/>
      <c r="HF23" s="186"/>
      <c r="HG23" s="186"/>
      <c r="HH23" s="186"/>
      <c r="HI23" s="186"/>
      <c r="HJ23" s="186"/>
      <c r="HK23" s="186"/>
      <c r="HL23" s="186"/>
      <c r="HM23" s="186"/>
      <c r="HN23" s="186"/>
      <c r="HO23" s="186"/>
      <c r="HP23" s="186"/>
      <c r="HQ23" s="186"/>
      <c r="HR23" s="187"/>
    </row>
    <row r="24" ht="54.75" customHeight="1">
      <c r="A24" s="207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t="s" s="214">
        <v>119</v>
      </c>
      <c r="M24" s="215"/>
      <c r="N24" s="236"/>
      <c r="O24" s="23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  <c r="EY24" s="186"/>
      <c r="EZ24" s="186"/>
      <c r="FA24" s="186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6"/>
      <c r="FM24" s="186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/>
      <c r="GE24" s="186"/>
      <c r="GF24" s="186"/>
      <c r="GG24" s="186"/>
      <c r="GH24" s="186"/>
      <c r="GI24" s="186"/>
      <c r="GJ24" s="186"/>
      <c r="GK24" s="186"/>
      <c r="GL24" s="186"/>
      <c r="GM24" s="186"/>
      <c r="GN24" s="186"/>
      <c r="GO24" s="186"/>
      <c r="GP24" s="186"/>
      <c r="GQ24" s="186"/>
      <c r="GR24" s="186"/>
      <c r="GS24" s="186"/>
      <c r="GT24" s="186"/>
      <c r="GU24" s="186"/>
      <c r="GV24" s="186"/>
      <c r="GW24" s="186"/>
      <c r="GX24" s="186"/>
      <c r="GY24" s="186"/>
      <c r="GZ24" s="186"/>
      <c r="HA24" s="186"/>
      <c r="HB24" s="186"/>
      <c r="HC24" s="186"/>
      <c r="HD24" s="186"/>
      <c r="HE24" s="186"/>
      <c r="HF24" s="186"/>
      <c r="HG24" s="186"/>
      <c r="HH24" s="186"/>
      <c r="HI24" s="186"/>
      <c r="HJ24" s="186"/>
      <c r="HK24" s="186"/>
      <c r="HL24" s="186"/>
      <c r="HM24" s="186"/>
      <c r="HN24" s="186"/>
      <c r="HO24" s="186"/>
      <c r="HP24" s="186"/>
      <c r="HQ24" s="186"/>
      <c r="HR24" s="187"/>
    </row>
    <row r="25" ht="54.75" customHeight="1">
      <c r="A25" s="207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239"/>
      <c r="N25" s="239"/>
      <c r="O25" s="239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/>
      <c r="DT25" s="186"/>
      <c r="DU25" s="186"/>
      <c r="DV25" s="186"/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  <c r="EY25" s="186"/>
      <c r="EZ25" s="186"/>
      <c r="FA25" s="186"/>
      <c r="FB25" s="186"/>
      <c r="FC25" s="186"/>
      <c r="FD25" s="186"/>
      <c r="FE25" s="186"/>
      <c r="FF25" s="186"/>
      <c r="FG25" s="186"/>
      <c r="FH25" s="186"/>
      <c r="FI25" s="186"/>
      <c r="FJ25" s="186"/>
      <c r="FK25" s="186"/>
      <c r="FL25" s="186"/>
      <c r="FM25" s="186"/>
      <c r="FN25" s="186"/>
      <c r="FO25" s="186"/>
      <c r="FP25" s="186"/>
      <c r="FQ25" s="186"/>
      <c r="FR25" s="186"/>
      <c r="FS25" s="186"/>
      <c r="FT25" s="186"/>
      <c r="FU25" s="186"/>
      <c r="FV25" s="186"/>
      <c r="FW25" s="186"/>
      <c r="FX25" s="186"/>
      <c r="FY25" s="186"/>
      <c r="FZ25" s="186"/>
      <c r="GA25" s="186"/>
      <c r="GB25" s="186"/>
      <c r="GC25" s="186"/>
      <c r="GD25" s="186"/>
      <c r="GE25" s="186"/>
      <c r="GF25" s="186"/>
      <c r="GG25" s="186"/>
      <c r="GH25" s="186"/>
      <c r="GI25" s="186"/>
      <c r="GJ25" s="186"/>
      <c r="GK25" s="186"/>
      <c r="GL25" s="186"/>
      <c r="GM25" s="186"/>
      <c r="GN25" s="186"/>
      <c r="GO25" s="186"/>
      <c r="GP25" s="186"/>
      <c r="GQ25" s="186"/>
      <c r="GR25" s="186"/>
      <c r="GS25" s="186"/>
      <c r="GT25" s="186"/>
      <c r="GU25" s="186"/>
      <c r="GV25" s="186"/>
      <c r="GW25" s="186"/>
      <c r="GX25" s="186"/>
      <c r="GY25" s="186"/>
      <c r="GZ25" s="186"/>
      <c r="HA25" s="186"/>
      <c r="HB25" s="186"/>
      <c r="HC25" s="186"/>
      <c r="HD25" s="186"/>
      <c r="HE25" s="186"/>
      <c r="HF25" s="186"/>
      <c r="HG25" s="186"/>
      <c r="HH25" s="186"/>
      <c r="HI25" s="186"/>
      <c r="HJ25" s="186"/>
      <c r="HK25" s="186"/>
      <c r="HL25" s="186"/>
      <c r="HM25" s="186"/>
      <c r="HN25" s="186"/>
      <c r="HO25" s="186"/>
      <c r="HP25" s="186"/>
      <c r="HQ25" s="186"/>
      <c r="HR25" s="187"/>
    </row>
    <row r="26" ht="54.75" customHeight="1">
      <c r="A26" s="207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  <c r="DM26" s="186"/>
      <c r="DN26" s="186"/>
      <c r="DO26" s="186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186"/>
      <c r="FI26" s="186"/>
      <c r="FJ26" s="186"/>
      <c r="FK26" s="186"/>
      <c r="FL26" s="186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86"/>
      <c r="GA26" s="186"/>
      <c r="GB26" s="186"/>
      <c r="GC26" s="186"/>
      <c r="GD26" s="186"/>
      <c r="GE26" s="186"/>
      <c r="GF26" s="186"/>
      <c r="GG26" s="186"/>
      <c r="GH26" s="186"/>
      <c r="GI26" s="186"/>
      <c r="GJ26" s="186"/>
      <c r="GK26" s="186"/>
      <c r="GL26" s="186"/>
      <c r="GM26" s="186"/>
      <c r="GN26" s="186"/>
      <c r="GO26" s="186"/>
      <c r="GP26" s="186"/>
      <c r="GQ26" s="186"/>
      <c r="GR26" s="186"/>
      <c r="GS26" s="186"/>
      <c r="GT26" s="186"/>
      <c r="GU26" s="186"/>
      <c r="GV26" s="186"/>
      <c r="GW26" s="186"/>
      <c r="GX26" s="186"/>
      <c r="GY26" s="186"/>
      <c r="GZ26" s="186"/>
      <c r="HA26" s="186"/>
      <c r="HB26" s="186"/>
      <c r="HC26" s="186"/>
      <c r="HD26" s="186"/>
      <c r="HE26" s="186"/>
      <c r="HF26" s="186"/>
      <c r="HG26" s="186"/>
      <c r="HH26" s="186"/>
      <c r="HI26" s="186"/>
      <c r="HJ26" s="186"/>
      <c r="HK26" s="186"/>
      <c r="HL26" s="186"/>
      <c r="HM26" s="186"/>
      <c r="HN26" s="186"/>
      <c r="HO26" s="186"/>
      <c r="HP26" s="186"/>
      <c r="HQ26" s="186"/>
      <c r="HR26" s="187"/>
    </row>
    <row r="27" ht="54.75" customHeight="1">
      <c r="A27" s="240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7"/>
    </row>
    <row r="28" ht="54.75" customHeight="1">
      <c r="A28" t="s" s="241">
        <v>120</v>
      </c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3"/>
      <c r="Q28" s="244"/>
      <c r="R28" s="245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7"/>
    </row>
    <row r="29" ht="24.75" customHeight="1">
      <c r="A29" t="s" s="246">
        <v>121</v>
      </c>
      <c r="B29" s="247"/>
      <c r="C29" s="248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50"/>
      <c r="R29" s="250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7"/>
    </row>
    <row r="30" ht="21" customHeight="1">
      <c r="A30" t="s" s="251">
        <v>122</v>
      </c>
      <c r="B30" s="252"/>
      <c r="C30" s="253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0"/>
      <c r="R30" s="250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  <c r="DM30" s="186"/>
      <c r="DN30" s="186"/>
      <c r="DO30" s="186"/>
      <c r="DP30" s="186"/>
      <c r="DQ30" s="186"/>
      <c r="DR30" s="186"/>
      <c r="DS30" s="186"/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  <c r="EY30" s="186"/>
      <c r="EZ30" s="186"/>
      <c r="FA30" s="186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  <c r="GR30" s="186"/>
      <c r="GS30" s="186"/>
      <c r="GT30" s="186"/>
      <c r="GU30" s="186"/>
      <c r="GV30" s="186"/>
      <c r="GW30" s="186"/>
      <c r="GX30" s="186"/>
      <c r="GY30" s="186"/>
      <c r="GZ30" s="186"/>
      <c r="HA30" s="186"/>
      <c r="HB30" s="186"/>
      <c r="HC30" s="186"/>
      <c r="HD30" s="186"/>
      <c r="HE30" s="186"/>
      <c r="HF30" s="186"/>
      <c r="HG30" s="186"/>
      <c r="HH30" s="186"/>
      <c r="HI30" s="186"/>
      <c r="HJ30" s="186"/>
      <c r="HK30" s="186"/>
      <c r="HL30" s="186"/>
      <c r="HM30" s="186"/>
      <c r="HN30" s="186"/>
      <c r="HO30" s="186"/>
      <c r="HP30" s="186"/>
      <c r="HQ30" s="186"/>
      <c r="HR30" s="187"/>
    </row>
    <row r="31" ht="24" customHeight="1">
      <c r="A31" t="s" s="251">
        <v>123</v>
      </c>
      <c r="B31" s="252"/>
      <c r="C31" s="253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0"/>
      <c r="R31" s="250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  <c r="DM31" s="186"/>
      <c r="DN31" s="186"/>
      <c r="DO31" s="186"/>
      <c r="DP31" s="186"/>
      <c r="DQ31" s="186"/>
      <c r="DR31" s="186"/>
      <c r="DS31" s="186"/>
      <c r="DT31" s="186"/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  <c r="EY31" s="186"/>
      <c r="EZ31" s="186"/>
      <c r="FA31" s="186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  <c r="GR31" s="186"/>
      <c r="GS31" s="186"/>
      <c r="GT31" s="186"/>
      <c r="GU31" s="186"/>
      <c r="GV31" s="186"/>
      <c r="GW31" s="186"/>
      <c r="GX31" s="186"/>
      <c r="GY31" s="186"/>
      <c r="GZ31" s="186"/>
      <c r="HA31" s="186"/>
      <c r="HB31" s="186"/>
      <c r="HC31" s="186"/>
      <c r="HD31" s="186"/>
      <c r="HE31" s="186"/>
      <c r="HF31" s="186"/>
      <c r="HG31" s="186"/>
      <c r="HH31" s="186"/>
      <c r="HI31" s="186"/>
      <c r="HJ31" s="186"/>
      <c r="HK31" s="186"/>
      <c r="HL31" s="186"/>
      <c r="HM31" s="186"/>
      <c r="HN31" s="186"/>
      <c r="HO31" s="186"/>
      <c r="HP31" s="186"/>
      <c r="HQ31" s="186"/>
      <c r="HR31" s="187"/>
    </row>
    <row r="32" ht="22.5" customHeight="1">
      <c r="A32" t="s" s="251">
        <v>124</v>
      </c>
      <c r="B32" s="252"/>
      <c r="C32" s="253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0"/>
      <c r="R32" s="250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  <c r="DM32" s="186"/>
      <c r="DN32" s="186"/>
      <c r="DO32" s="186"/>
      <c r="DP32" s="186"/>
      <c r="DQ32" s="186"/>
      <c r="DR32" s="186"/>
      <c r="DS32" s="186"/>
      <c r="DT32" s="186"/>
      <c r="DU32" s="186"/>
      <c r="DV32" s="186"/>
      <c r="DW32" s="186"/>
      <c r="DX32" s="186"/>
      <c r="DY32" s="186"/>
      <c r="DZ32" s="186"/>
      <c r="EA32" s="186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6"/>
      <c r="EO32" s="186"/>
      <c r="EP32" s="186"/>
      <c r="EQ32" s="186"/>
      <c r="ER32" s="186"/>
      <c r="ES32" s="186"/>
      <c r="ET32" s="186"/>
      <c r="EU32" s="186"/>
      <c r="EV32" s="186"/>
      <c r="EW32" s="186"/>
      <c r="EX32" s="186"/>
      <c r="EY32" s="186"/>
      <c r="EZ32" s="186"/>
      <c r="FA32" s="186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  <c r="GR32" s="186"/>
      <c r="GS32" s="186"/>
      <c r="GT32" s="186"/>
      <c r="GU32" s="186"/>
      <c r="GV32" s="186"/>
      <c r="GW32" s="186"/>
      <c r="GX32" s="186"/>
      <c r="GY32" s="186"/>
      <c r="GZ32" s="186"/>
      <c r="HA32" s="186"/>
      <c r="HB32" s="186"/>
      <c r="HC32" s="186"/>
      <c r="HD32" s="186"/>
      <c r="HE32" s="186"/>
      <c r="HF32" s="186"/>
      <c r="HG32" s="186"/>
      <c r="HH32" s="186"/>
      <c r="HI32" s="186"/>
      <c r="HJ32" s="186"/>
      <c r="HK32" s="186"/>
      <c r="HL32" s="186"/>
      <c r="HM32" s="186"/>
      <c r="HN32" s="186"/>
      <c r="HO32" s="186"/>
      <c r="HP32" s="186"/>
      <c r="HQ32" s="186"/>
      <c r="HR32" s="187"/>
    </row>
    <row r="33" ht="21" customHeight="1">
      <c r="A33" t="s" s="255">
        <v>125</v>
      </c>
      <c r="B33" s="256"/>
      <c r="C33" s="257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0"/>
      <c r="R33" s="250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  <c r="DM33" s="186"/>
      <c r="DN33" s="186"/>
      <c r="DO33" s="186"/>
      <c r="DP33" s="186"/>
      <c r="DQ33" s="186"/>
      <c r="DR33" s="186"/>
      <c r="DS33" s="186"/>
      <c r="DT33" s="186"/>
      <c r="DU33" s="186"/>
      <c r="DV33" s="186"/>
      <c r="DW33" s="186"/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  <c r="EY33" s="186"/>
      <c r="EZ33" s="186"/>
      <c r="FA33" s="186"/>
      <c r="FB33" s="186"/>
      <c r="FC33" s="186"/>
      <c r="FD33" s="186"/>
      <c r="FE33" s="186"/>
      <c r="FF33" s="186"/>
      <c r="FG33" s="186"/>
      <c r="FH33" s="186"/>
      <c r="FI33" s="186"/>
      <c r="FJ33" s="186"/>
      <c r="FK33" s="186"/>
      <c r="FL33" s="186"/>
      <c r="FM33" s="186"/>
      <c r="FN33" s="186"/>
      <c r="FO33" s="186"/>
      <c r="FP33" s="186"/>
      <c r="FQ33" s="186"/>
      <c r="FR33" s="186"/>
      <c r="FS33" s="186"/>
      <c r="FT33" s="186"/>
      <c r="FU33" s="186"/>
      <c r="FV33" s="186"/>
      <c r="FW33" s="186"/>
      <c r="FX33" s="186"/>
      <c r="FY33" s="186"/>
      <c r="FZ33" s="186"/>
      <c r="GA33" s="186"/>
      <c r="GB33" s="186"/>
      <c r="GC33" s="186"/>
      <c r="GD33" s="186"/>
      <c r="GE33" s="186"/>
      <c r="GF33" s="186"/>
      <c r="GG33" s="186"/>
      <c r="GH33" s="186"/>
      <c r="GI33" s="186"/>
      <c r="GJ33" s="186"/>
      <c r="GK33" s="186"/>
      <c r="GL33" s="186"/>
      <c r="GM33" s="186"/>
      <c r="GN33" s="186"/>
      <c r="GO33" s="186"/>
      <c r="GP33" s="186"/>
      <c r="GQ33" s="186"/>
      <c r="GR33" s="186"/>
      <c r="GS33" s="186"/>
      <c r="GT33" s="186"/>
      <c r="GU33" s="186"/>
      <c r="GV33" s="186"/>
      <c r="GW33" s="186"/>
      <c r="GX33" s="186"/>
      <c r="GY33" s="186"/>
      <c r="GZ33" s="186"/>
      <c r="HA33" s="186"/>
      <c r="HB33" s="186"/>
      <c r="HC33" s="186"/>
      <c r="HD33" s="186"/>
      <c r="HE33" s="186"/>
      <c r="HF33" s="186"/>
      <c r="HG33" s="186"/>
      <c r="HH33" s="186"/>
      <c r="HI33" s="186"/>
      <c r="HJ33" s="186"/>
      <c r="HK33" s="186"/>
      <c r="HL33" s="186"/>
      <c r="HM33" s="186"/>
      <c r="HN33" s="186"/>
      <c r="HO33" s="186"/>
      <c r="HP33" s="186"/>
      <c r="HQ33" s="186"/>
      <c r="HR33" s="187"/>
    </row>
    <row r="34" ht="54.75" customHeight="1">
      <c r="A34" t="s" s="241">
        <v>126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3"/>
      <c r="Q34" s="244"/>
      <c r="R34" s="245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  <c r="DM34" s="186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/>
      <c r="EV34" s="186"/>
      <c r="EW34" s="186"/>
      <c r="EX34" s="186"/>
      <c r="EY34" s="186"/>
      <c r="EZ34" s="186"/>
      <c r="FA34" s="186"/>
      <c r="FB34" s="186"/>
      <c r="FC34" s="186"/>
      <c r="FD34" s="186"/>
      <c r="FE34" s="186"/>
      <c r="FF34" s="186"/>
      <c r="FG34" s="186"/>
      <c r="FH34" s="186"/>
      <c r="FI34" s="186"/>
      <c r="FJ34" s="186"/>
      <c r="FK34" s="186"/>
      <c r="FL34" s="186"/>
      <c r="FM34" s="186"/>
      <c r="FN34" s="186"/>
      <c r="FO34" s="186"/>
      <c r="FP34" s="186"/>
      <c r="FQ34" s="186"/>
      <c r="FR34" s="186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7"/>
    </row>
    <row r="35" ht="54.75" customHeight="1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1"/>
      <c r="Q35" s="262"/>
      <c r="R35" s="263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  <c r="DM35" s="186"/>
      <c r="DN35" s="186"/>
      <c r="DO35" s="186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/>
      <c r="EW35" s="186"/>
      <c r="EX35" s="186"/>
      <c r="EY35" s="186"/>
      <c r="EZ35" s="186"/>
      <c r="FA35" s="186"/>
      <c r="FB35" s="186"/>
      <c r="FC35" s="186"/>
      <c r="FD35" s="186"/>
      <c r="FE35" s="186"/>
      <c r="FF35" s="186"/>
      <c r="FG35" s="186"/>
      <c r="FH35" s="186"/>
      <c r="FI35" s="186"/>
      <c r="FJ35" s="186"/>
      <c r="FK35" s="186"/>
      <c r="FL35" s="186"/>
      <c r="FM35" s="186"/>
      <c r="FN35" s="186"/>
      <c r="FO35" s="186"/>
      <c r="FP35" s="186"/>
      <c r="FQ35" s="186"/>
      <c r="FR35" s="186"/>
      <c r="FS35" s="186"/>
      <c r="FT35" s="186"/>
      <c r="FU35" s="186"/>
      <c r="FV35" s="186"/>
      <c r="FW35" s="186"/>
      <c r="FX35" s="186"/>
      <c r="FY35" s="186"/>
      <c r="FZ35" s="186"/>
      <c r="GA35" s="186"/>
      <c r="GB35" s="186"/>
      <c r="GC35" s="186"/>
      <c r="GD35" s="186"/>
      <c r="GE35" s="186"/>
      <c r="GF35" s="186"/>
      <c r="GG35" s="186"/>
      <c r="GH35" s="186"/>
      <c r="GI35" s="186"/>
      <c r="GJ35" s="186"/>
      <c r="GK35" s="186"/>
      <c r="GL35" s="186"/>
      <c r="GM35" s="186"/>
      <c r="GN35" s="186"/>
      <c r="GO35" s="186"/>
      <c r="GP35" s="186"/>
      <c r="GQ35" s="186"/>
      <c r="GR35" s="186"/>
      <c r="GS35" s="186"/>
      <c r="GT35" s="186"/>
      <c r="GU35" s="186"/>
      <c r="GV35" s="186"/>
      <c r="GW35" s="186"/>
      <c r="GX35" s="186"/>
      <c r="GY35" s="186"/>
      <c r="GZ35" s="186"/>
      <c r="HA35" s="186"/>
      <c r="HB35" s="186"/>
      <c r="HC35" s="186"/>
      <c r="HD35" s="186"/>
      <c r="HE35" s="186"/>
      <c r="HF35" s="186"/>
      <c r="HG35" s="186"/>
      <c r="HH35" s="186"/>
      <c r="HI35" s="186"/>
      <c r="HJ35" s="186"/>
      <c r="HK35" s="186"/>
      <c r="HL35" s="186"/>
      <c r="HM35" s="186"/>
      <c r="HN35" s="186"/>
      <c r="HO35" s="186"/>
      <c r="HP35" s="186"/>
      <c r="HQ35" s="186"/>
      <c r="HR35" s="187"/>
    </row>
    <row r="36" ht="54.75" customHeight="1">
      <c r="A36" s="264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6"/>
      <c r="Q36" s="262"/>
      <c r="R36" s="263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6"/>
      <c r="CG36" s="18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6"/>
      <c r="CU36" s="186"/>
      <c r="CV36" s="186"/>
      <c r="CW36" s="186"/>
      <c r="CX36" s="186"/>
      <c r="CY36" s="186"/>
      <c r="CZ36" s="186"/>
      <c r="DA36" s="186"/>
      <c r="DB36" s="186"/>
      <c r="DC36" s="186"/>
      <c r="DD36" s="186"/>
      <c r="DE36" s="186"/>
      <c r="DF36" s="186"/>
      <c r="DG36" s="186"/>
      <c r="DH36" s="186"/>
      <c r="DI36" s="186"/>
      <c r="DJ36" s="186"/>
      <c r="DK36" s="186"/>
      <c r="DL36" s="186"/>
      <c r="DM36" s="186"/>
      <c r="DN36" s="186"/>
      <c r="DO36" s="186"/>
      <c r="DP36" s="186"/>
      <c r="DQ36" s="186"/>
      <c r="DR36" s="186"/>
      <c r="DS36" s="186"/>
      <c r="DT36" s="186"/>
      <c r="DU36" s="186"/>
      <c r="DV36" s="186"/>
      <c r="DW36" s="186"/>
      <c r="DX36" s="186"/>
      <c r="DY36" s="186"/>
      <c r="DZ36" s="186"/>
      <c r="EA36" s="186"/>
      <c r="EB36" s="186"/>
      <c r="EC36" s="186"/>
      <c r="ED36" s="186"/>
      <c r="EE36" s="186"/>
      <c r="EF36" s="186"/>
      <c r="EG36" s="186"/>
      <c r="EH36" s="186"/>
      <c r="EI36" s="186"/>
      <c r="EJ36" s="186"/>
      <c r="EK36" s="186"/>
      <c r="EL36" s="186"/>
      <c r="EM36" s="186"/>
      <c r="EN36" s="186"/>
      <c r="EO36" s="186"/>
      <c r="EP36" s="186"/>
      <c r="EQ36" s="186"/>
      <c r="ER36" s="186"/>
      <c r="ES36" s="186"/>
      <c r="ET36" s="186"/>
      <c r="EU36" s="186"/>
      <c r="EV36" s="186"/>
      <c r="EW36" s="186"/>
      <c r="EX36" s="186"/>
      <c r="EY36" s="186"/>
      <c r="EZ36" s="186"/>
      <c r="FA36" s="186"/>
      <c r="FB36" s="186"/>
      <c r="FC36" s="186"/>
      <c r="FD36" s="186"/>
      <c r="FE36" s="186"/>
      <c r="FF36" s="186"/>
      <c r="FG36" s="186"/>
      <c r="FH36" s="186"/>
      <c r="FI36" s="186"/>
      <c r="FJ36" s="186"/>
      <c r="FK36" s="186"/>
      <c r="FL36" s="186"/>
      <c r="FM36" s="186"/>
      <c r="FN36" s="186"/>
      <c r="FO36" s="186"/>
      <c r="FP36" s="186"/>
      <c r="FQ36" s="186"/>
      <c r="FR36" s="186"/>
      <c r="FS36" s="186"/>
      <c r="FT36" s="186"/>
      <c r="FU36" s="186"/>
      <c r="FV36" s="186"/>
      <c r="FW36" s="186"/>
      <c r="FX36" s="186"/>
      <c r="FY36" s="186"/>
      <c r="FZ36" s="186"/>
      <c r="GA36" s="186"/>
      <c r="GB36" s="186"/>
      <c r="GC36" s="186"/>
      <c r="GD36" s="186"/>
      <c r="GE36" s="186"/>
      <c r="GF36" s="186"/>
      <c r="GG36" s="186"/>
      <c r="GH36" s="186"/>
      <c r="GI36" s="186"/>
      <c r="GJ36" s="186"/>
      <c r="GK36" s="186"/>
      <c r="GL36" s="186"/>
      <c r="GM36" s="186"/>
      <c r="GN36" s="186"/>
      <c r="GO36" s="186"/>
      <c r="GP36" s="186"/>
      <c r="GQ36" s="186"/>
      <c r="GR36" s="186"/>
      <c r="GS36" s="186"/>
      <c r="GT36" s="186"/>
      <c r="GU36" s="186"/>
      <c r="GV36" s="186"/>
      <c r="GW36" s="186"/>
      <c r="GX36" s="186"/>
      <c r="GY36" s="186"/>
      <c r="GZ36" s="186"/>
      <c r="HA36" s="186"/>
      <c r="HB36" s="186"/>
      <c r="HC36" s="186"/>
      <c r="HD36" s="186"/>
      <c r="HE36" s="186"/>
      <c r="HF36" s="186"/>
      <c r="HG36" s="186"/>
      <c r="HH36" s="186"/>
      <c r="HI36" s="186"/>
      <c r="HJ36" s="186"/>
      <c r="HK36" s="186"/>
      <c r="HL36" s="186"/>
      <c r="HM36" s="186"/>
      <c r="HN36" s="186"/>
      <c r="HO36" s="186"/>
      <c r="HP36" s="186"/>
      <c r="HQ36" s="186"/>
      <c r="HR36" s="187"/>
    </row>
    <row r="37" ht="54.75" customHeight="1">
      <c r="A37" s="188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/>
      <c r="BO37" s="186"/>
      <c r="BP37" s="186"/>
      <c r="BQ37" s="186"/>
      <c r="BR37" s="186"/>
      <c r="BS37" s="186"/>
      <c r="BT37" s="186"/>
      <c r="BU37" s="186"/>
      <c r="BV37" s="186"/>
      <c r="BW37" s="186"/>
      <c r="BX37" s="186"/>
      <c r="BY37" s="186"/>
      <c r="BZ37" s="186"/>
      <c r="CA37" s="186"/>
      <c r="CB37" s="186"/>
      <c r="CC37" s="186"/>
      <c r="CD37" s="186"/>
      <c r="CE37" s="186"/>
      <c r="CF37" s="186"/>
      <c r="CG37" s="186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86"/>
      <c r="CT37" s="186"/>
      <c r="CU37" s="186"/>
      <c r="CV37" s="186"/>
      <c r="CW37" s="186"/>
      <c r="CX37" s="186"/>
      <c r="CY37" s="186"/>
      <c r="CZ37" s="186"/>
      <c r="DA37" s="186"/>
      <c r="DB37" s="186"/>
      <c r="DC37" s="186"/>
      <c r="DD37" s="186"/>
      <c r="DE37" s="186"/>
      <c r="DF37" s="186"/>
      <c r="DG37" s="186"/>
      <c r="DH37" s="186"/>
      <c r="DI37" s="186"/>
      <c r="DJ37" s="186"/>
      <c r="DK37" s="186"/>
      <c r="DL37" s="186"/>
      <c r="DM37" s="186"/>
      <c r="DN37" s="186"/>
      <c r="DO37" s="186"/>
      <c r="DP37" s="186"/>
      <c r="DQ37" s="186"/>
      <c r="DR37" s="186"/>
      <c r="DS37" s="186"/>
      <c r="DT37" s="186"/>
      <c r="DU37" s="186"/>
      <c r="DV37" s="186"/>
      <c r="DW37" s="186"/>
      <c r="DX37" s="186"/>
      <c r="DY37" s="186"/>
      <c r="DZ37" s="186"/>
      <c r="EA37" s="186"/>
      <c r="EB37" s="186"/>
      <c r="EC37" s="186"/>
      <c r="ED37" s="186"/>
      <c r="EE37" s="186"/>
      <c r="EF37" s="186"/>
      <c r="EG37" s="186"/>
      <c r="EH37" s="186"/>
      <c r="EI37" s="186"/>
      <c r="EJ37" s="186"/>
      <c r="EK37" s="186"/>
      <c r="EL37" s="186"/>
      <c r="EM37" s="186"/>
      <c r="EN37" s="186"/>
      <c r="EO37" s="186"/>
      <c r="EP37" s="186"/>
      <c r="EQ37" s="186"/>
      <c r="ER37" s="186"/>
      <c r="ES37" s="186"/>
      <c r="ET37" s="186"/>
      <c r="EU37" s="186"/>
      <c r="EV37" s="186"/>
      <c r="EW37" s="186"/>
      <c r="EX37" s="186"/>
      <c r="EY37" s="186"/>
      <c r="EZ37" s="186"/>
      <c r="FA37" s="186"/>
      <c r="FB37" s="186"/>
      <c r="FC37" s="186"/>
      <c r="FD37" s="186"/>
      <c r="FE37" s="186"/>
      <c r="FF37" s="186"/>
      <c r="FG37" s="186"/>
      <c r="FH37" s="186"/>
      <c r="FI37" s="186"/>
      <c r="FJ37" s="186"/>
      <c r="FK37" s="186"/>
      <c r="FL37" s="186"/>
      <c r="FM37" s="186"/>
      <c r="FN37" s="186"/>
      <c r="FO37" s="186"/>
      <c r="FP37" s="186"/>
      <c r="FQ37" s="186"/>
      <c r="FR37" s="186"/>
      <c r="FS37" s="186"/>
      <c r="FT37" s="186"/>
      <c r="FU37" s="186"/>
      <c r="FV37" s="186"/>
      <c r="FW37" s="186"/>
      <c r="FX37" s="186"/>
      <c r="FY37" s="186"/>
      <c r="FZ37" s="186"/>
      <c r="GA37" s="186"/>
      <c r="GB37" s="186"/>
      <c r="GC37" s="186"/>
      <c r="GD37" s="186"/>
      <c r="GE37" s="186"/>
      <c r="GF37" s="186"/>
      <c r="GG37" s="186"/>
      <c r="GH37" s="186"/>
      <c r="GI37" s="186"/>
      <c r="GJ37" s="186"/>
      <c r="GK37" s="186"/>
      <c r="GL37" s="186"/>
      <c r="GM37" s="186"/>
      <c r="GN37" s="186"/>
      <c r="GO37" s="186"/>
      <c r="GP37" s="186"/>
      <c r="GQ37" s="186"/>
      <c r="GR37" s="186"/>
      <c r="GS37" s="186"/>
      <c r="GT37" s="186"/>
      <c r="GU37" s="186"/>
      <c r="GV37" s="186"/>
      <c r="GW37" s="186"/>
      <c r="GX37" s="186"/>
      <c r="GY37" s="186"/>
      <c r="GZ37" s="186"/>
      <c r="HA37" s="186"/>
      <c r="HB37" s="186"/>
      <c r="HC37" s="186"/>
      <c r="HD37" s="186"/>
      <c r="HE37" s="186"/>
      <c r="HF37" s="186"/>
      <c r="HG37" s="186"/>
      <c r="HH37" s="186"/>
      <c r="HI37" s="186"/>
      <c r="HJ37" s="186"/>
      <c r="HK37" s="186"/>
      <c r="HL37" s="186"/>
      <c r="HM37" s="186"/>
      <c r="HN37" s="186"/>
      <c r="HO37" s="186"/>
      <c r="HP37" s="186"/>
      <c r="HQ37" s="186"/>
      <c r="HR37" s="187"/>
    </row>
    <row r="38" ht="54.75" customHeight="1">
      <c r="A38" s="207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6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86"/>
      <c r="CT38" s="186"/>
      <c r="CU38" s="186"/>
      <c r="CV38" s="186"/>
      <c r="CW38" s="186"/>
      <c r="CX38" s="186"/>
      <c r="CY38" s="186"/>
      <c r="CZ38" s="186"/>
      <c r="DA38" s="186"/>
      <c r="DB38" s="186"/>
      <c r="DC38" s="186"/>
      <c r="DD38" s="186"/>
      <c r="DE38" s="186"/>
      <c r="DF38" s="186"/>
      <c r="DG38" s="186"/>
      <c r="DH38" s="186"/>
      <c r="DI38" s="186"/>
      <c r="DJ38" s="186"/>
      <c r="DK38" s="186"/>
      <c r="DL38" s="186"/>
      <c r="DM38" s="186"/>
      <c r="DN38" s="186"/>
      <c r="DO38" s="186"/>
      <c r="DP38" s="186"/>
      <c r="DQ38" s="186"/>
      <c r="DR38" s="186"/>
      <c r="DS38" s="186"/>
      <c r="DT38" s="186"/>
      <c r="DU38" s="186"/>
      <c r="DV38" s="186"/>
      <c r="DW38" s="186"/>
      <c r="DX38" s="186"/>
      <c r="DY38" s="186"/>
      <c r="DZ38" s="186"/>
      <c r="EA38" s="186"/>
      <c r="EB38" s="186"/>
      <c r="EC38" s="186"/>
      <c r="ED38" s="186"/>
      <c r="EE38" s="186"/>
      <c r="EF38" s="186"/>
      <c r="EG38" s="186"/>
      <c r="EH38" s="186"/>
      <c r="EI38" s="186"/>
      <c r="EJ38" s="186"/>
      <c r="EK38" s="186"/>
      <c r="EL38" s="186"/>
      <c r="EM38" s="186"/>
      <c r="EN38" s="186"/>
      <c r="EO38" s="186"/>
      <c r="EP38" s="186"/>
      <c r="EQ38" s="186"/>
      <c r="ER38" s="186"/>
      <c r="ES38" s="186"/>
      <c r="ET38" s="186"/>
      <c r="EU38" s="186"/>
      <c r="EV38" s="186"/>
      <c r="EW38" s="186"/>
      <c r="EX38" s="186"/>
      <c r="EY38" s="186"/>
      <c r="EZ38" s="186"/>
      <c r="FA38" s="186"/>
      <c r="FB38" s="186"/>
      <c r="FC38" s="186"/>
      <c r="FD38" s="186"/>
      <c r="FE38" s="186"/>
      <c r="FF38" s="186"/>
      <c r="FG38" s="186"/>
      <c r="FH38" s="186"/>
      <c r="FI38" s="186"/>
      <c r="FJ38" s="186"/>
      <c r="FK38" s="186"/>
      <c r="FL38" s="186"/>
      <c r="FM38" s="186"/>
      <c r="FN38" s="186"/>
      <c r="FO38" s="186"/>
      <c r="FP38" s="186"/>
      <c r="FQ38" s="186"/>
      <c r="FR38" s="186"/>
      <c r="FS38" s="186"/>
      <c r="FT38" s="186"/>
      <c r="FU38" s="186"/>
      <c r="FV38" s="186"/>
      <c r="FW38" s="186"/>
      <c r="FX38" s="186"/>
      <c r="FY38" s="186"/>
      <c r="FZ38" s="186"/>
      <c r="GA38" s="186"/>
      <c r="GB38" s="186"/>
      <c r="GC38" s="186"/>
      <c r="GD38" s="186"/>
      <c r="GE38" s="186"/>
      <c r="GF38" s="186"/>
      <c r="GG38" s="186"/>
      <c r="GH38" s="186"/>
      <c r="GI38" s="186"/>
      <c r="GJ38" s="186"/>
      <c r="GK38" s="186"/>
      <c r="GL38" s="186"/>
      <c r="GM38" s="186"/>
      <c r="GN38" s="186"/>
      <c r="GO38" s="186"/>
      <c r="GP38" s="186"/>
      <c r="GQ38" s="186"/>
      <c r="GR38" s="186"/>
      <c r="GS38" s="186"/>
      <c r="GT38" s="186"/>
      <c r="GU38" s="186"/>
      <c r="GV38" s="186"/>
      <c r="GW38" s="186"/>
      <c r="GX38" s="186"/>
      <c r="GY38" s="186"/>
      <c r="GZ38" s="186"/>
      <c r="HA38" s="186"/>
      <c r="HB38" s="186"/>
      <c r="HC38" s="186"/>
      <c r="HD38" s="186"/>
      <c r="HE38" s="186"/>
      <c r="HF38" s="186"/>
      <c r="HG38" s="186"/>
      <c r="HH38" s="186"/>
      <c r="HI38" s="186"/>
      <c r="HJ38" s="186"/>
      <c r="HK38" s="186"/>
      <c r="HL38" s="186"/>
      <c r="HM38" s="186"/>
      <c r="HN38" s="186"/>
      <c r="HO38" s="186"/>
      <c r="HP38" s="186"/>
      <c r="HQ38" s="186"/>
      <c r="HR38" s="187"/>
    </row>
    <row r="39" ht="54.75" customHeight="1">
      <c r="A39" s="267"/>
      <c r="B39" s="268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68"/>
      <c r="AM39" s="268"/>
      <c r="AN39" s="268"/>
      <c r="AO39" s="268"/>
      <c r="AP39" s="268"/>
      <c r="AQ39" s="268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68"/>
      <c r="BE39" s="268"/>
      <c r="BF39" s="268"/>
      <c r="BG39" s="268"/>
      <c r="BH39" s="268"/>
      <c r="BI39" s="268"/>
      <c r="BJ39" s="268"/>
      <c r="BK39" s="268"/>
      <c r="BL39" s="268"/>
      <c r="BM39" s="268"/>
      <c r="BN39" s="268"/>
      <c r="BO39" s="268"/>
      <c r="BP39" s="268"/>
      <c r="BQ39" s="268"/>
      <c r="BR39" s="268"/>
      <c r="BS39" s="268"/>
      <c r="BT39" s="268"/>
      <c r="BU39" s="268"/>
      <c r="BV39" s="268"/>
      <c r="BW39" s="268"/>
      <c r="BX39" s="268"/>
      <c r="BY39" s="268"/>
      <c r="BZ39" s="268"/>
      <c r="CA39" s="268"/>
      <c r="CB39" s="268"/>
      <c r="CC39" s="268"/>
      <c r="CD39" s="268"/>
      <c r="CE39" s="268"/>
      <c r="CF39" s="268"/>
      <c r="CG39" s="268"/>
      <c r="CH39" s="268"/>
      <c r="CI39" s="268"/>
      <c r="CJ39" s="268"/>
      <c r="CK39" s="268"/>
      <c r="CL39" s="268"/>
      <c r="CM39" s="268"/>
      <c r="CN39" s="268"/>
      <c r="CO39" s="268"/>
      <c r="CP39" s="268"/>
      <c r="CQ39" s="268"/>
      <c r="CR39" s="268"/>
      <c r="CS39" s="268"/>
      <c r="CT39" s="268"/>
      <c r="CU39" s="268"/>
      <c r="CV39" s="268"/>
      <c r="CW39" s="268"/>
      <c r="CX39" s="268"/>
      <c r="CY39" s="268"/>
      <c r="CZ39" s="268"/>
      <c r="DA39" s="268"/>
      <c r="DB39" s="268"/>
      <c r="DC39" s="268"/>
      <c r="DD39" s="268"/>
      <c r="DE39" s="268"/>
      <c r="DF39" s="268"/>
      <c r="DG39" s="268"/>
      <c r="DH39" s="268"/>
      <c r="DI39" s="268"/>
      <c r="DJ39" s="268"/>
      <c r="DK39" s="268"/>
      <c r="DL39" s="268"/>
      <c r="DM39" s="268"/>
      <c r="DN39" s="268"/>
      <c r="DO39" s="268"/>
      <c r="DP39" s="268"/>
      <c r="DQ39" s="268"/>
      <c r="DR39" s="268"/>
      <c r="DS39" s="268"/>
      <c r="DT39" s="268"/>
      <c r="DU39" s="268"/>
      <c r="DV39" s="268"/>
      <c r="DW39" s="268"/>
      <c r="DX39" s="268"/>
      <c r="DY39" s="268"/>
      <c r="DZ39" s="268"/>
      <c r="EA39" s="268"/>
      <c r="EB39" s="268"/>
      <c r="EC39" s="268"/>
      <c r="ED39" s="268"/>
      <c r="EE39" s="268"/>
      <c r="EF39" s="268"/>
      <c r="EG39" s="268"/>
      <c r="EH39" s="268"/>
      <c r="EI39" s="268"/>
      <c r="EJ39" s="268"/>
      <c r="EK39" s="268"/>
      <c r="EL39" s="268"/>
      <c r="EM39" s="268"/>
      <c r="EN39" s="268"/>
      <c r="EO39" s="268"/>
      <c r="EP39" s="268"/>
      <c r="EQ39" s="268"/>
      <c r="ER39" s="268"/>
      <c r="ES39" s="268"/>
      <c r="ET39" s="268"/>
      <c r="EU39" s="268"/>
      <c r="EV39" s="268"/>
      <c r="EW39" s="268"/>
      <c r="EX39" s="268"/>
      <c r="EY39" s="268"/>
      <c r="EZ39" s="268"/>
      <c r="FA39" s="268"/>
      <c r="FB39" s="268"/>
      <c r="FC39" s="268"/>
      <c r="FD39" s="268"/>
      <c r="FE39" s="268"/>
      <c r="FF39" s="268"/>
      <c r="FG39" s="268"/>
      <c r="FH39" s="268"/>
      <c r="FI39" s="268"/>
      <c r="FJ39" s="268"/>
      <c r="FK39" s="268"/>
      <c r="FL39" s="268"/>
      <c r="FM39" s="268"/>
      <c r="FN39" s="268"/>
      <c r="FO39" s="268"/>
      <c r="FP39" s="268"/>
      <c r="FQ39" s="268"/>
      <c r="FR39" s="268"/>
      <c r="FS39" s="268"/>
      <c r="FT39" s="268"/>
      <c r="FU39" s="268"/>
      <c r="FV39" s="268"/>
      <c r="FW39" s="268"/>
      <c r="FX39" s="268"/>
      <c r="FY39" s="268"/>
      <c r="FZ39" s="268"/>
      <c r="GA39" s="268"/>
      <c r="GB39" s="268"/>
      <c r="GC39" s="268"/>
      <c r="GD39" s="268"/>
      <c r="GE39" s="268"/>
      <c r="GF39" s="268"/>
      <c r="GG39" s="268"/>
      <c r="GH39" s="268"/>
      <c r="GI39" s="268"/>
      <c r="GJ39" s="268"/>
      <c r="GK39" s="268"/>
      <c r="GL39" s="268"/>
      <c r="GM39" s="268"/>
      <c r="GN39" s="268"/>
      <c r="GO39" s="268"/>
      <c r="GP39" s="268"/>
      <c r="GQ39" s="268"/>
      <c r="GR39" s="268"/>
      <c r="GS39" s="268"/>
      <c r="GT39" s="268"/>
      <c r="GU39" s="268"/>
      <c r="GV39" s="268"/>
      <c r="GW39" s="268"/>
      <c r="GX39" s="268"/>
      <c r="GY39" s="268"/>
      <c r="GZ39" s="268"/>
      <c r="HA39" s="268"/>
      <c r="HB39" s="268"/>
      <c r="HC39" s="268"/>
      <c r="HD39" s="268"/>
      <c r="HE39" s="268"/>
      <c r="HF39" s="268"/>
      <c r="HG39" s="268"/>
      <c r="HH39" s="268"/>
      <c r="HI39" s="268"/>
      <c r="HJ39" s="268"/>
      <c r="HK39" s="268"/>
      <c r="HL39" s="268"/>
      <c r="HM39" s="268"/>
      <c r="HN39" s="268"/>
      <c r="HO39" s="268"/>
      <c r="HP39" s="268"/>
      <c r="HQ39" s="268"/>
      <c r="HR39" s="269"/>
    </row>
  </sheetData>
  <mergeCells count="53">
    <mergeCell ref="I12:O12"/>
    <mergeCell ref="B14:F14"/>
    <mergeCell ref="B9:E9"/>
    <mergeCell ref="I9:O9"/>
    <mergeCell ref="B10:E10"/>
    <mergeCell ref="I10:O10"/>
    <mergeCell ref="B11:E11"/>
    <mergeCell ref="I11:O11"/>
    <mergeCell ref="I14:P14"/>
    <mergeCell ref="C1:G1"/>
    <mergeCell ref="N1:P1"/>
    <mergeCell ref="A2:P2"/>
    <mergeCell ref="I4:P4"/>
    <mergeCell ref="B7:F7"/>
    <mergeCell ref="I7:P7"/>
    <mergeCell ref="B16:E16"/>
    <mergeCell ref="I16:J16"/>
    <mergeCell ref="L16:M16"/>
    <mergeCell ref="O16:P16"/>
    <mergeCell ref="B17:E17"/>
    <mergeCell ref="I17:J17"/>
    <mergeCell ref="L17:M17"/>
    <mergeCell ref="O17:P17"/>
    <mergeCell ref="B18:E18"/>
    <mergeCell ref="I18:J18"/>
    <mergeCell ref="L18:M18"/>
    <mergeCell ref="O18:P18"/>
    <mergeCell ref="B19:E19"/>
    <mergeCell ref="I19:J19"/>
    <mergeCell ref="L19:M19"/>
    <mergeCell ref="O19:P19"/>
    <mergeCell ref="B20:E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A35:P36"/>
    <mergeCell ref="L23:M23"/>
    <mergeCell ref="O23:P23"/>
    <mergeCell ref="L24:M24"/>
    <mergeCell ref="A28:P28"/>
    <mergeCell ref="A34:P34"/>
    <mergeCell ref="C29:P33"/>
    <mergeCell ref="A29:B29"/>
    <mergeCell ref="A30:B30"/>
    <mergeCell ref="A31:B31"/>
    <mergeCell ref="A32:B32"/>
    <mergeCell ref="A33:B33"/>
  </mergeCells>
  <pageMargins left="0.7" right="0.7" top="0.75" bottom="0.75" header="0.3" footer="0.3"/>
  <pageSetup firstPageNumber="1" fitToHeight="1" fitToWidth="1" scale="42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48"/>
  <sheetViews>
    <sheetView workbookViewId="0" showGridLines="0" defaultGridColor="1"/>
  </sheetViews>
  <sheetFormatPr defaultColWidth="14.3333" defaultRowHeight="21.75" customHeight="1" outlineLevelRow="0" outlineLevelCol="0"/>
  <cols>
    <col min="1" max="3" width="14.3516" style="270" customWidth="1"/>
    <col min="4" max="4" width="15" style="270" customWidth="1"/>
    <col min="5" max="5" width="15.8516" style="270" customWidth="1"/>
    <col min="6" max="8" width="14.3516" style="270" customWidth="1"/>
    <col min="9" max="9" width="11.3516" style="270" customWidth="1"/>
    <col min="10" max="10" width="17.6719" style="270" customWidth="1"/>
    <col min="11" max="13" width="14.3516" style="270" customWidth="1"/>
    <col min="14" max="14" width="16.5" style="270" customWidth="1"/>
    <col min="15" max="15" width="16.6719" style="270" customWidth="1"/>
    <col min="16" max="19" width="14.3516" style="270" customWidth="1"/>
    <col min="20" max="16384" width="14.3516" style="270" customWidth="1"/>
  </cols>
  <sheetData>
    <row r="1" ht="98.25" customHeight="1">
      <c r="A1" s="2"/>
      <c r="B1" s="3"/>
      <c r="C1" t="s" s="4">
        <v>0</v>
      </c>
      <c r="D1" s="5"/>
      <c r="E1" s="5"/>
      <c r="F1" s="3"/>
      <c r="G1" s="5"/>
      <c r="H1" t="s" s="4">
        <v>1</v>
      </c>
      <c r="I1" s="3"/>
      <c r="J1" s="3"/>
      <c r="K1" t="s" s="4">
        <v>2</v>
      </c>
      <c r="L1" s="3"/>
      <c r="M1" t="s" s="4">
        <v>3</v>
      </c>
      <c r="N1" s="3"/>
      <c r="O1" t="s" s="6">
        <v>4</v>
      </c>
      <c r="P1" s="7"/>
      <c r="Q1" s="8"/>
      <c r="R1" s="8"/>
      <c r="S1" s="9"/>
    </row>
    <row r="2" ht="51.75" customHeight="1">
      <c r="A2" t="s" s="10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3"/>
      <c r="R2" s="14"/>
      <c r="S2" s="15"/>
    </row>
    <row r="3" ht="22.5" customHeight="1">
      <c r="A3" s="16"/>
      <c r="B3" s="17"/>
      <c r="C3" s="17"/>
      <c r="D3" s="17"/>
      <c r="E3" s="18"/>
      <c r="F3" s="18"/>
      <c r="G3" s="17"/>
      <c r="H3" s="17"/>
      <c r="I3" s="17"/>
      <c r="J3" s="17"/>
      <c r="K3" s="18"/>
      <c r="L3" s="17"/>
      <c r="M3" s="17"/>
      <c r="N3" s="17"/>
      <c r="O3" s="17"/>
      <c r="P3" s="18"/>
      <c r="Q3" s="14"/>
      <c r="R3" s="14"/>
      <c r="S3" s="15"/>
    </row>
    <row r="4" ht="45.95" customHeight="1">
      <c r="A4" s="19"/>
      <c r="B4" t="s" s="20">
        <v>6</v>
      </c>
      <c r="C4" s="21"/>
      <c r="D4" s="22"/>
      <c r="E4" s="23"/>
      <c r="F4" s="24"/>
      <c r="G4" t="s" s="25">
        <v>7</v>
      </c>
      <c r="H4" s="26"/>
      <c r="I4" s="26"/>
      <c r="J4" s="27"/>
      <c r="K4" s="28"/>
      <c r="L4" t="s" s="20">
        <v>8</v>
      </c>
      <c r="M4" s="21"/>
      <c r="N4" s="21"/>
      <c r="O4" t="s" s="29">
        <v>9</v>
      </c>
      <c r="P4" s="23"/>
      <c r="Q4" s="14"/>
      <c r="R4" s="14"/>
      <c r="S4" s="15"/>
    </row>
    <row r="5" ht="45.95" customHeight="1">
      <c r="A5" s="19"/>
      <c r="B5" t="s" s="30">
        <v>10</v>
      </c>
      <c r="C5" s="31"/>
      <c r="D5" s="32"/>
      <c r="E5" s="23"/>
      <c r="F5" s="24"/>
      <c r="G5" t="s" s="33">
        <v>11</v>
      </c>
      <c r="H5" s="34"/>
      <c r="I5" s="35"/>
      <c r="J5" s="32"/>
      <c r="K5" s="28"/>
      <c r="L5" t="s" s="30">
        <v>12</v>
      </c>
      <c r="M5" s="31"/>
      <c r="N5" s="36">
        <v>0.15</v>
      </c>
      <c r="O5" s="37" cm="1">
        <f t="array" ref="O5">IF(D7/8100&lt;1,1,D7/8100)</f>
        <v>1</v>
      </c>
      <c r="P5" s="23"/>
      <c r="Q5" s="14"/>
      <c r="R5" s="14"/>
      <c r="S5" s="15"/>
    </row>
    <row r="6" ht="45.95" customHeight="1">
      <c r="A6" s="19"/>
      <c r="B6" t="s" s="30">
        <v>13</v>
      </c>
      <c r="C6" s="31"/>
      <c r="D6" s="38" cm="1">
        <f t="array" ref="D6">D5*0.85</f>
        <v>0</v>
      </c>
      <c r="E6" s="23"/>
      <c r="F6" s="24"/>
      <c r="G6" t="s" s="39">
        <v>14</v>
      </c>
      <c r="H6" s="40"/>
      <c r="I6" s="41"/>
      <c r="J6" s="42"/>
      <c r="K6" s="28"/>
      <c r="L6" t="s" s="43">
        <v>15</v>
      </c>
      <c r="M6" s="44"/>
      <c r="N6" s="36">
        <v>0.05</v>
      </c>
      <c r="O6" s="37" cm="1">
        <f t="array" ref="O6">IF(D8*N6&lt;1,1,D8*N6)</f>
      </c>
      <c r="P6" s="23"/>
      <c r="Q6" s="14"/>
      <c r="R6" s="14"/>
      <c r="S6" s="15"/>
    </row>
    <row r="7" ht="45.95" customHeight="1">
      <c r="A7" s="19"/>
      <c r="B7" t="s" s="43">
        <v>12</v>
      </c>
      <c r="C7" s="44"/>
      <c r="D7" s="38" cm="1">
        <f t="array" ref="D7">D5*0.15</f>
        <v>0</v>
      </c>
      <c r="E7" s="23"/>
      <c r="F7" s="24"/>
      <c r="G7" t="s" s="39">
        <v>16</v>
      </c>
      <c r="H7" s="40"/>
      <c r="I7" s="41"/>
      <c r="J7" s="45" cm="1">
        <f t="array" ref="J7">J5*J6</f>
        <v>0</v>
      </c>
      <c r="K7" s="28"/>
      <c r="L7" t="s" s="46">
        <v>17</v>
      </c>
      <c r="M7" s="47"/>
      <c r="N7" s="48">
        <v>0.3</v>
      </c>
      <c r="O7" s="49" cm="1">
        <f t="array" ref="O7">IF(D8*N7&lt;1,1,D8*N7)</f>
      </c>
      <c r="P7" s="23"/>
      <c r="Q7" s="14"/>
      <c r="R7" s="14"/>
      <c r="S7" s="15"/>
    </row>
    <row r="8" ht="45.95" customHeight="1">
      <c r="A8" s="19"/>
      <c r="B8" t="s" s="46">
        <v>18</v>
      </c>
      <c r="C8" s="47"/>
      <c r="D8" s="49" cm="1">
        <f t="array" ref="D8">D5/N14</f>
      </c>
      <c r="E8" s="23"/>
      <c r="F8" s="24"/>
      <c r="G8" t="s" s="50">
        <v>19</v>
      </c>
      <c r="H8" s="51"/>
      <c r="I8" s="52"/>
      <c r="J8" s="49" cm="1">
        <f t="array" ref="J8">D5*1.1</f>
        <v>0</v>
      </c>
      <c r="K8" s="23"/>
      <c r="L8" t="s" s="53">
        <v>20</v>
      </c>
      <c r="M8" s="54"/>
      <c r="N8" s="54"/>
      <c r="O8" s="54"/>
      <c r="P8" s="14"/>
      <c r="Q8" s="14"/>
      <c r="R8" s="14"/>
      <c r="S8" s="15"/>
    </row>
    <row r="9" ht="45.95" customHeight="1">
      <c r="A9" s="55"/>
      <c r="B9" s="56"/>
      <c r="C9" s="56"/>
      <c r="D9" s="56"/>
      <c r="E9" s="14"/>
      <c r="F9" s="14"/>
      <c r="G9" t="s" s="53">
        <v>21</v>
      </c>
      <c r="H9" s="54"/>
      <c r="I9" s="54"/>
      <c r="J9" s="54"/>
      <c r="K9" s="14"/>
      <c r="L9" s="57"/>
      <c r="M9" s="14"/>
      <c r="N9" s="14"/>
      <c r="O9" s="14"/>
      <c r="P9" s="14"/>
      <c r="Q9" s="14"/>
      <c r="R9" s="14"/>
      <c r="S9" s="15"/>
    </row>
    <row r="10" ht="45.95" customHeight="1">
      <c r="A10" s="55"/>
      <c r="B10" s="58"/>
      <c r="C10" s="58"/>
      <c r="D10" s="58"/>
      <c r="E10" s="58"/>
      <c r="F10" s="14"/>
      <c r="G10" s="58"/>
      <c r="H10" s="58"/>
      <c r="I10" s="58"/>
      <c r="J10" s="58"/>
      <c r="K10" s="14"/>
      <c r="L10" t="s" s="59">
        <v>22</v>
      </c>
      <c r="M10" s="60"/>
      <c r="N10" t="s" s="59">
        <v>23</v>
      </c>
      <c r="O10" s="60"/>
      <c r="P10" s="14"/>
      <c r="Q10" s="14"/>
      <c r="R10" s="14"/>
      <c r="S10" s="15"/>
    </row>
    <row r="11" ht="45.95" customHeight="1">
      <c r="A11" s="19"/>
      <c r="B11" t="s" s="25">
        <v>24</v>
      </c>
      <c r="C11" s="26"/>
      <c r="D11" s="26"/>
      <c r="E11" s="27"/>
      <c r="F11" s="28"/>
      <c r="G11" t="s" s="61">
        <v>25</v>
      </c>
      <c r="H11" s="62"/>
      <c r="I11" s="62"/>
      <c r="J11" s="63"/>
      <c r="K11" s="28"/>
      <c r="L11" t="s" s="64">
        <v>26</v>
      </c>
      <c r="M11" s="65"/>
      <c r="N11" t="s" s="64">
        <v>26</v>
      </c>
      <c r="O11" s="65"/>
      <c r="P11" s="23"/>
      <c r="Q11" s="14"/>
      <c r="R11" s="14"/>
      <c r="S11" s="15"/>
    </row>
    <row r="12" ht="45.95" customHeight="1">
      <c r="A12" s="19"/>
      <c r="B12" t="s" s="33">
        <v>27</v>
      </c>
      <c r="C12" s="35"/>
      <c r="D12" s="66" cm="1">
        <f t="array" ref="D12">D5/D31</f>
      </c>
      <c r="E12" s="67"/>
      <c r="F12" s="28"/>
      <c r="G12" t="s" s="68">
        <v>28</v>
      </c>
      <c r="H12" s="69"/>
      <c r="I12" s="70"/>
      <c r="J12" s="71"/>
      <c r="K12" s="28"/>
      <c r="L12" s="72"/>
      <c r="M12" s="73"/>
      <c r="N12" s="72"/>
      <c r="O12" s="73"/>
      <c r="P12" s="23"/>
      <c r="Q12" s="14"/>
      <c r="R12" s="14"/>
      <c r="S12" s="15"/>
    </row>
    <row r="13" ht="45.95" customHeight="1">
      <c r="A13" s="19"/>
      <c r="B13" t="s" s="50">
        <v>9</v>
      </c>
      <c r="C13" s="52"/>
      <c r="D13" s="74" cm="1">
        <f t="array" ref="D13">D8/D31</f>
      </c>
      <c r="E13" s="75"/>
      <c r="F13" s="23"/>
      <c r="G13" s="56"/>
      <c r="H13" s="56"/>
      <c r="I13" s="76"/>
      <c r="J13" s="76"/>
      <c r="K13" s="24"/>
      <c r="L13" t="s" s="64">
        <v>29</v>
      </c>
      <c r="M13" s="65"/>
      <c r="N13" t="s" s="64">
        <v>29</v>
      </c>
      <c r="O13" s="65"/>
      <c r="P13" s="23"/>
      <c r="Q13" s="14"/>
      <c r="R13" s="14"/>
      <c r="S13" s="15"/>
    </row>
    <row r="14" ht="45.95" customHeight="1">
      <c r="A14" s="55"/>
      <c r="B14" s="56"/>
      <c r="C14" s="56"/>
      <c r="D14" s="56"/>
      <c r="E14" s="56"/>
      <c r="F14" s="14"/>
      <c r="G14" s="14"/>
      <c r="H14" s="14"/>
      <c r="I14" s="77"/>
      <c r="J14" s="77"/>
      <c r="K14" s="24"/>
      <c r="L14" s="72"/>
      <c r="M14" s="73"/>
      <c r="N14" s="72"/>
      <c r="O14" s="73"/>
      <c r="P14" s="23"/>
      <c r="Q14" s="14"/>
      <c r="R14" s="14"/>
      <c r="S14" s="15"/>
    </row>
    <row r="15" ht="45.95" customHeight="1">
      <c r="A15" s="55"/>
      <c r="B15" s="14"/>
      <c r="C15" s="58"/>
      <c r="D15" s="58"/>
      <c r="E15" s="58"/>
      <c r="F15" s="58"/>
      <c r="G15" s="58"/>
      <c r="H15" s="58"/>
      <c r="I15" s="14"/>
      <c r="J15" s="14"/>
      <c r="K15" s="14"/>
      <c r="L15" s="56"/>
      <c r="M15" s="56"/>
      <c r="N15" s="56"/>
      <c r="O15" s="56"/>
      <c r="P15" s="14"/>
      <c r="Q15" s="14"/>
      <c r="R15" s="14"/>
      <c r="S15" s="15"/>
    </row>
    <row r="16" ht="55.5" customHeight="1">
      <c r="A16" s="55"/>
      <c r="B16" s="78"/>
      <c r="C16" t="s" s="79">
        <v>30</v>
      </c>
      <c r="D16" t="s" s="80">
        <v>31</v>
      </c>
      <c r="E16" t="s" s="80">
        <v>32</v>
      </c>
      <c r="F16" t="s" s="80">
        <v>33</v>
      </c>
      <c r="G16" t="s" s="80">
        <v>34</v>
      </c>
      <c r="H16" t="s" s="81">
        <v>35</v>
      </c>
      <c r="I16" s="82"/>
      <c r="J16" s="77"/>
      <c r="K16" s="14"/>
      <c r="L16" s="14"/>
      <c r="M16" s="14"/>
      <c r="N16" s="14"/>
      <c r="O16" s="14"/>
      <c r="P16" s="14"/>
      <c r="Q16" s="14"/>
      <c r="R16" s="14"/>
      <c r="S16" s="15"/>
    </row>
    <row r="17" ht="45.95" customHeight="1">
      <c r="A17" s="19"/>
      <c r="B17" t="s" s="83">
        <v>36</v>
      </c>
      <c r="C17" s="84"/>
      <c r="D17" s="85"/>
      <c r="E17" s="85"/>
      <c r="F17" s="85"/>
      <c r="G17" s="86"/>
      <c r="H17" s="87" cm="1">
        <f t="array" ref="H17">SUM(C17:G17)</f>
        <v>0</v>
      </c>
      <c r="I17" s="82"/>
      <c r="J17" s="77"/>
      <c r="K17" s="77"/>
      <c r="L17" s="77"/>
      <c r="M17" s="77"/>
      <c r="N17" s="77"/>
      <c r="O17" s="77"/>
      <c r="P17" s="14"/>
      <c r="Q17" s="14"/>
      <c r="R17" s="14"/>
      <c r="S17" s="15"/>
    </row>
    <row r="18" ht="45.95" customHeight="1">
      <c r="A18" s="19"/>
      <c r="B18" t="s" s="88">
        <v>37</v>
      </c>
      <c r="C18" s="89" cm="1">
        <f t="array" ref="C18">C17/$H$17</f>
      </c>
      <c r="D18" s="36" cm="1">
        <f t="array" ref="D18">D17/$H$17</f>
      </c>
      <c r="E18" s="36" cm="1">
        <f t="array" ref="E18">E17/$H$17</f>
      </c>
      <c r="F18" s="36" cm="1">
        <f t="array" ref="F18">F17/$H$17</f>
      </c>
      <c r="G18" s="36" cm="1">
        <f t="array" ref="G18">G17/$H$17</f>
      </c>
      <c r="H18" s="90" cm="1">
        <f t="array" ref="H18">H17/$H$17</f>
      </c>
      <c r="I18" s="82"/>
      <c r="J18" s="77"/>
      <c r="K18" s="77"/>
      <c r="L18" s="77"/>
      <c r="M18" s="77"/>
      <c r="N18" s="77"/>
      <c r="O18" s="77"/>
      <c r="P18" s="14"/>
      <c r="Q18" s="14"/>
      <c r="R18" s="14"/>
      <c r="S18" s="15"/>
    </row>
    <row r="19" ht="45.95" customHeight="1">
      <c r="A19" s="19"/>
      <c r="B19" t="s" s="91">
        <v>38</v>
      </c>
      <c r="C19" s="92" cm="1">
        <f t="array" ref="C19">C18*$D$5</f>
      </c>
      <c r="D19" s="93" cm="1">
        <f t="array" ref="D19">D18*$D$5</f>
      </c>
      <c r="E19" s="93" cm="1">
        <f t="array" ref="E19">E18*$D$5</f>
      </c>
      <c r="F19" s="93" cm="1">
        <f t="array" ref="F19">F18*$D$5</f>
      </c>
      <c r="G19" s="93" cm="1">
        <f t="array" ref="G19">G18*$D$5</f>
      </c>
      <c r="H19" s="49" cm="1">
        <f t="array" ref="H19">SUM(C19:G19)</f>
      </c>
      <c r="I19" s="82"/>
      <c r="J19" s="77"/>
      <c r="K19" s="77"/>
      <c r="L19" s="77"/>
      <c r="M19" s="77"/>
      <c r="N19" s="77"/>
      <c r="O19" s="77"/>
      <c r="P19" s="14"/>
      <c r="Q19" s="14"/>
      <c r="R19" s="14"/>
      <c r="S19" s="15"/>
    </row>
    <row r="20" ht="45.95" customHeight="1">
      <c r="A20" s="55"/>
      <c r="B20" s="56"/>
      <c r="C20" s="56"/>
      <c r="D20" s="56"/>
      <c r="E20" s="94"/>
      <c r="F20" s="94"/>
      <c r="G20" s="56"/>
      <c r="H20" s="56"/>
      <c r="I20" s="77"/>
      <c r="J20" s="77"/>
      <c r="K20" s="14"/>
      <c r="L20" s="14"/>
      <c r="M20" s="14"/>
      <c r="N20" s="14"/>
      <c r="O20" s="14"/>
      <c r="P20" s="14"/>
      <c r="Q20" s="14"/>
      <c r="R20" s="14"/>
      <c r="S20" s="15"/>
    </row>
    <row r="21" ht="35.25" customHeight="1">
      <c r="A21" s="5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14"/>
      <c r="N21" s="14"/>
      <c r="O21" s="14"/>
      <c r="P21" s="14"/>
      <c r="Q21" s="14"/>
      <c r="R21" s="14"/>
      <c r="S21" s="15"/>
    </row>
    <row r="22" ht="78.75" customHeight="1">
      <c r="A22" s="96"/>
      <c r="B22" t="s" s="97">
        <v>39</v>
      </c>
      <c r="C22" s="98"/>
      <c r="D22" t="s" s="97">
        <v>40</v>
      </c>
      <c r="E22" s="98"/>
      <c r="F22" t="s" s="97">
        <v>41</v>
      </c>
      <c r="G22" t="s" s="97">
        <v>42</v>
      </c>
      <c r="H22" s="98"/>
      <c r="I22" t="s" s="97">
        <v>43</v>
      </c>
      <c r="J22" s="98"/>
      <c r="K22" t="s" s="97">
        <v>44</v>
      </c>
      <c r="L22" t="s" s="97">
        <v>45</v>
      </c>
      <c r="M22" t="s" s="99">
        <v>46</v>
      </c>
      <c r="N22" s="100"/>
      <c r="O22" s="100"/>
      <c r="P22" s="100"/>
      <c r="Q22" s="14"/>
      <c r="R22" s="14"/>
      <c r="S22" s="15"/>
    </row>
    <row r="23" ht="45.95" customHeight="1">
      <c r="A23" s="96"/>
      <c r="B23" s="271" cm="1">
        <f t="array" ref="B23">'DOMINGO'!B23</f>
        <v>0</v>
      </c>
      <c r="C23" s="44"/>
      <c r="D23" s="101"/>
      <c r="E23" s="101"/>
      <c r="F23" s="102" cm="1">
        <f t="array" ref="F23">($D$5/$D$31)*D23</f>
      </c>
      <c r="G23" s="103" cm="1">
        <f t="array" ref="G23">(($D$8-$O$5)/$D$31)*D23</f>
      </c>
      <c r="H23" s="104"/>
      <c r="I23" s="105"/>
      <c r="J23" s="105"/>
      <c r="K23" s="105"/>
      <c r="L23" s="105"/>
      <c r="M23" s="106"/>
      <c r="N23" s="100"/>
      <c r="O23" s="100"/>
      <c r="P23" s="100"/>
      <c r="Q23" s="77"/>
      <c r="R23" s="14"/>
      <c r="S23" s="15"/>
    </row>
    <row r="24" ht="45.95" customHeight="1">
      <c r="A24" s="96"/>
      <c r="B24" s="271" cm="1">
        <f t="array" ref="B24">'DOMINGO'!B24</f>
        <v>0</v>
      </c>
      <c r="C24" s="44"/>
      <c r="D24" s="101"/>
      <c r="E24" s="101"/>
      <c r="F24" s="102" cm="1">
        <f t="array" ref="F24">($D$5/$D$31)*D24</f>
      </c>
      <c r="G24" s="103" cm="1">
        <f t="array" ref="G24">(($D$8-$O$5)/$D$31)*D24</f>
      </c>
      <c r="H24" s="104"/>
      <c r="I24" s="105"/>
      <c r="J24" s="105"/>
      <c r="K24" s="105"/>
      <c r="L24" s="105"/>
      <c r="M24" s="106"/>
      <c r="N24" s="100"/>
      <c r="O24" s="100"/>
      <c r="P24" s="100"/>
      <c r="Q24" s="107"/>
      <c r="R24" s="14"/>
      <c r="S24" s="15"/>
    </row>
    <row r="25" ht="45.95" customHeight="1">
      <c r="A25" s="96"/>
      <c r="B25" s="271" cm="1">
        <f t="array" ref="B25">'DOMINGO'!B25</f>
        <v>0</v>
      </c>
      <c r="C25" s="44"/>
      <c r="D25" s="109"/>
      <c r="E25" s="110"/>
      <c r="F25" s="102" cm="1">
        <f t="array" ref="F25">($D$5/$D$31)*D25</f>
      </c>
      <c r="G25" s="103" cm="1">
        <f t="array" ref="G25">(($D$8-$O$5)/$D$31)*D25</f>
      </c>
      <c r="H25" s="104"/>
      <c r="I25" s="105"/>
      <c r="J25" s="44"/>
      <c r="K25" s="105"/>
      <c r="L25" s="105"/>
      <c r="M25" s="106"/>
      <c r="N25" s="100"/>
      <c r="O25" s="100"/>
      <c r="P25" s="100"/>
      <c r="Q25" s="107"/>
      <c r="R25" s="14"/>
      <c r="S25" s="15"/>
    </row>
    <row r="26" ht="45.95" customHeight="1">
      <c r="A26" s="96"/>
      <c r="B26" s="271" cm="1">
        <f t="array" ref="B26">'DOMINGO'!B26</f>
        <v>0</v>
      </c>
      <c r="C26" s="44"/>
      <c r="D26" s="109"/>
      <c r="E26" s="110"/>
      <c r="F26" s="102" cm="1">
        <f t="array" ref="F26">($D$5/$D$31)*D26</f>
      </c>
      <c r="G26" s="103" cm="1">
        <f t="array" ref="G26">(($D$8-$O$5)/$D$31)*D26</f>
      </c>
      <c r="H26" s="104"/>
      <c r="I26" s="105"/>
      <c r="J26" s="44"/>
      <c r="K26" s="105"/>
      <c r="L26" s="105"/>
      <c r="M26" s="106"/>
      <c r="N26" s="100"/>
      <c r="O26" s="100"/>
      <c r="P26" s="100"/>
      <c r="Q26" s="107"/>
      <c r="R26" s="14"/>
      <c r="S26" s="15"/>
    </row>
    <row r="27" ht="45.95" customHeight="1">
      <c r="A27" s="96"/>
      <c r="B27" s="271" cm="1">
        <f t="array" ref="B27">'DOMINGO'!B27</f>
        <v>0</v>
      </c>
      <c r="C27" s="44"/>
      <c r="D27" s="109"/>
      <c r="E27" s="110"/>
      <c r="F27" s="102" cm="1">
        <f t="array" ref="F27">($D$5/$D$31)*D27</f>
      </c>
      <c r="G27" s="103" cm="1">
        <f t="array" ref="G27">(($D$8-$O$5)/$D$31)*D27</f>
      </c>
      <c r="H27" s="104"/>
      <c r="I27" s="105"/>
      <c r="J27" s="44"/>
      <c r="K27" s="105"/>
      <c r="L27" s="105"/>
      <c r="M27" s="106"/>
      <c r="N27" s="100"/>
      <c r="O27" s="100"/>
      <c r="P27" s="100"/>
      <c r="Q27" s="107"/>
      <c r="R27" s="14"/>
      <c r="S27" s="15"/>
    </row>
    <row r="28" ht="45.95" customHeight="1">
      <c r="A28" s="96"/>
      <c r="B28" s="271" cm="1">
        <f t="array" ref="B28">'DOMINGO'!B28</f>
        <v>0</v>
      </c>
      <c r="C28" s="44"/>
      <c r="D28" s="109"/>
      <c r="E28" s="110"/>
      <c r="F28" s="102" cm="1">
        <f t="array" ref="F28">($D$5/$D$31)*D28</f>
      </c>
      <c r="G28" s="103" cm="1">
        <f t="array" ref="G28">(($D$8-$O$5)/$D$31)*D28</f>
      </c>
      <c r="H28" s="104"/>
      <c r="I28" s="105"/>
      <c r="J28" s="44"/>
      <c r="K28" s="105"/>
      <c r="L28" s="105"/>
      <c r="M28" s="106"/>
      <c r="N28" s="100"/>
      <c r="O28" s="100"/>
      <c r="P28" s="100"/>
      <c r="Q28" s="107"/>
      <c r="R28" s="14"/>
      <c r="S28" s="15"/>
    </row>
    <row r="29" ht="45.95" customHeight="1">
      <c r="A29" s="96"/>
      <c r="B29" s="271" cm="1">
        <f t="array" ref="B29">'DOMINGO'!B29</f>
        <v>0</v>
      </c>
      <c r="C29" s="44"/>
      <c r="D29" s="109"/>
      <c r="E29" s="110"/>
      <c r="F29" s="102" cm="1">
        <f t="array" ref="F29">($D$5/$D$31)*D29</f>
      </c>
      <c r="G29" s="103" cm="1">
        <f t="array" ref="G29">(($D$8-$O$5)/$D$31)*D29</f>
      </c>
      <c r="H29" s="104"/>
      <c r="I29" s="105"/>
      <c r="J29" s="44"/>
      <c r="K29" s="105"/>
      <c r="L29" s="105"/>
      <c r="M29" s="106"/>
      <c r="N29" s="100"/>
      <c r="O29" s="100"/>
      <c r="P29" s="100"/>
      <c r="Q29" s="107"/>
      <c r="R29" s="14"/>
      <c r="S29" s="15"/>
    </row>
    <row r="30" ht="45.95" customHeight="1">
      <c r="A30" s="96"/>
      <c r="B30" s="271" cm="1">
        <f t="array" ref="B30">'DOMINGO'!B30</f>
        <v>0</v>
      </c>
      <c r="C30" s="44"/>
      <c r="D30" s="101"/>
      <c r="E30" s="101"/>
      <c r="F30" s="102" cm="1">
        <f t="array" ref="F30">($D$5/$D$31)*D30</f>
      </c>
      <c r="G30" s="103" cm="1">
        <f t="array" ref="G30">(($D$8-$O$5)/$D$31)*D30</f>
      </c>
      <c r="H30" s="104"/>
      <c r="I30" s="105"/>
      <c r="J30" s="105"/>
      <c r="K30" s="105"/>
      <c r="L30" s="105"/>
      <c r="M30" s="106"/>
      <c r="N30" s="100"/>
      <c r="O30" s="100"/>
      <c r="P30" s="100"/>
      <c r="Q30" s="77"/>
      <c r="R30" s="14"/>
      <c r="S30" s="15"/>
    </row>
    <row r="31" ht="45.95" customHeight="1">
      <c r="A31" s="96"/>
      <c r="B31" t="s" s="111">
        <v>35</v>
      </c>
      <c r="C31" s="112"/>
      <c r="D31" s="102" cm="1">
        <f t="array" ref="D31">SUM(D23:D30)</f>
        <v>0</v>
      </c>
      <c r="E31" s="102"/>
      <c r="F31" s="102" cm="1">
        <f t="array" ref="F31">SUM(F23:F30)</f>
      </c>
      <c r="G31" s="103" cm="1">
        <f t="array" ref="G31">SUM(G23:H30)</f>
      </c>
      <c r="H31" s="104"/>
      <c r="I31" s="102" cm="1">
        <f t="array" ref="I31">SUM(I23:I30)</f>
        <v>0</v>
      </c>
      <c r="J31" s="102"/>
      <c r="K31" s="102" cm="1">
        <f t="array" ref="K31">O6</f>
      </c>
      <c r="L31" s="102" cm="1">
        <f t="array" ref="L31">O7</f>
      </c>
      <c r="M31" s="106"/>
      <c r="N31" s="100"/>
      <c r="O31" s="100"/>
      <c r="P31" s="100"/>
      <c r="Q31" s="77"/>
      <c r="R31" s="14"/>
      <c r="S31" s="15"/>
    </row>
    <row r="32" ht="45.95" customHeight="1">
      <c r="A32" s="113"/>
      <c r="B32" s="51"/>
      <c r="C32" s="58"/>
      <c r="D32" s="51"/>
      <c r="E32" s="51"/>
      <c r="F32" s="51"/>
      <c r="G32" s="51"/>
      <c r="H32" s="51"/>
      <c r="I32" s="114"/>
      <c r="J32" s="114"/>
      <c r="K32" s="114"/>
      <c r="L32" s="114"/>
      <c r="M32" s="115"/>
      <c r="N32" s="115"/>
      <c r="O32" s="115"/>
      <c r="P32" s="58"/>
      <c r="Q32" s="14"/>
      <c r="R32" s="14"/>
      <c r="S32" s="15"/>
    </row>
    <row r="33" ht="62.25" customHeight="1">
      <c r="A33" t="s" s="116">
        <v>47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73"/>
      <c r="Q33" s="118"/>
      <c r="R33" s="119"/>
      <c r="S33" s="15"/>
    </row>
    <row r="34" ht="56.45" customHeight="1">
      <c r="A34" s="120"/>
      <c r="B34" s="121"/>
      <c r="C34" s="121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56"/>
      <c r="O34" s="56"/>
      <c r="P34" s="56"/>
      <c r="Q34" s="14"/>
      <c r="R34" s="14"/>
      <c r="S34" s="15"/>
    </row>
    <row r="35" ht="73.5" customHeight="1">
      <c r="A35" s="122"/>
      <c r="B35" t="s" s="123">
        <v>48</v>
      </c>
      <c r="C35" s="124"/>
      <c r="D35" t="s" s="125">
        <v>49</v>
      </c>
      <c r="E35" t="s" s="126">
        <v>50</v>
      </c>
      <c r="F35" t="s" s="127">
        <v>51</v>
      </c>
      <c r="G35" t="s" s="126">
        <v>52</v>
      </c>
      <c r="H35" t="s" s="127">
        <v>53</v>
      </c>
      <c r="I35" t="s" s="128">
        <v>54</v>
      </c>
      <c r="J35" s="129"/>
      <c r="K35" t="s" s="130">
        <v>55</v>
      </c>
      <c r="L35" t="s" s="130">
        <v>56</v>
      </c>
      <c r="M35" t="s" s="130">
        <v>57</v>
      </c>
      <c r="N35" t="s" s="131">
        <v>58</v>
      </c>
      <c r="O35" s="132"/>
      <c r="P35" t="s" s="133">
        <v>59</v>
      </c>
      <c r="Q35" s="14"/>
      <c r="R35" s="14"/>
      <c r="S35" s="15"/>
    </row>
    <row r="36" ht="27" customHeight="1">
      <c r="A36" s="122"/>
      <c r="B36" s="134"/>
      <c r="C36" s="135"/>
      <c r="D36" s="136" cm="1">
        <f t="array" ref="D36">D5</f>
        <v>0</v>
      </c>
      <c r="E36" s="137" cm="1">
        <f t="array" ref="E36">H48</f>
        <v>0</v>
      </c>
      <c r="F36" s="137" cm="1">
        <f t="array" ref="F36">D8</f>
      </c>
      <c r="G36" s="137" cm="1">
        <f t="array" ref="G36">I48+K48</f>
        <v>0</v>
      </c>
      <c r="H36" s="138" cm="1">
        <f t="array" ref="H36">F48/E48</f>
      </c>
      <c r="I36" s="139" cm="1">
        <f t="array" ref="I36">H36-J6</f>
      </c>
      <c r="J36" s="140"/>
      <c r="K36" s="139" cm="1">
        <f t="array" ref="K36">K48/G36</f>
      </c>
      <c r="L36" s="140" cm="1">
        <f t="array" ref="L36">M48/G36</f>
      </c>
      <c r="M36" s="141" cm="1">
        <f t="array" ref="M36">N48/G36</f>
      </c>
      <c r="N36" s="142"/>
      <c r="O36" s="14"/>
      <c r="P36" s="14"/>
      <c r="Q36" s="14"/>
      <c r="R36" s="14"/>
      <c r="S36" s="15"/>
    </row>
    <row r="37" ht="15.6" customHeight="1">
      <c r="A37" s="55"/>
      <c r="B37" s="18"/>
      <c r="C37" s="18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14"/>
      <c r="O37" s="14"/>
      <c r="P37" s="14"/>
      <c r="Q37" s="14"/>
      <c r="R37" s="14"/>
      <c r="S37" s="15"/>
    </row>
    <row r="38" ht="15.6" customHeight="1">
      <c r="A38" s="55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"/>
      <c r="P38" s="14"/>
      <c r="Q38" s="14"/>
      <c r="R38" s="14"/>
      <c r="S38" s="15"/>
    </row>
    <row r="39" ht="57.95" customHeight="1">
      <c r="A39" s="122"/>
      <c r="B39" t="s" s="144">
        <v>60</v>
      </c>
      <c r="C39" s="145"/>
      <c r="D39" t="s" s="146">
        <v>40</v>
      </c>
      <c r="E39" t="s" s="146">
        <v>61</v>
      </c>
      <c r="F39" t="s" s="146">
        <v>62</v>
      </c>
      <c r="G39" t="s" s="146">
        <v>63</v>
      </c>
      <c r="H39" t="s" s="146">
        <v>64</v>
      </c>
      <c r="I39" t="s" s="146">
        <v>65</v>
      </c>
      <c r="J39" t="s" s="146">
        <v>66</v>
      </c>
      <c r="K39" t="s" s="146">
        <v>67</v>
      </c>
      <c r="L39" t="s" s="146">
        <v>68</v>
      </c>
      <c r="M39" t="s" s="146">
        <v>69</v>
      </c>
      <c r="N39" t="s" s="147">
        <v>70</v>
      </c>
      <c r="O39" s="13"/>
      <c r="P39" s="14"/>
      <c r="Q39" s="14"/>
      <c r="R39" t="s" s="148">
        <v>71</v>
      </c>
      <c r="S39" s="15"/>
    </row>
    <row r="40" ht="45.95" customHeight="1">
      <c r="A40" s="122"/>
      <c r="B40" s="149" cm="1">
        <f t="array" ref="B40">B23</f>
        <v>0</v>
      </c>
      <c r="C40" s="150"/>
      <c r="D40" s="151" cm="1">
        <f t="array" ref="D40">D23</f>
        <v>0</v>
      </c>
      <c r="E40" s="152"/>
      <c r="F40" s="153"/>
      <c r="G40" t="str" s="150" cm="1">
        <f t="array" ref="G40">_xlfn.IFERROR(F40/E40,"0")</f>
        <v>0</v>
      </c>
      <c r="H40" s="153"/>
      <c r="I40" s="153"/>
      <c r="J40" s="153"/>
      <c r="K40" s="153"/>
      <c r="L40" t="str" s="150" cm="1">
        <f t="array" ref="L40">_xlfn.IFERROR(K40/J40,"0")</f>
        <v>0</v>
      </c>
      <c r="M40" s="153"/>
      <c r="N40" s="154"/>
      <c r="O40" s="13"/>
      <c r="P40" s="14"/>
      <c r="Q40" s="14"/>
      <c r="R40" s="14"/>
      <c r="S40" s="15"/>
    </row>
    <row r="41" ht="45.95" customHeight="1">
      <c r="A41" s="122"/>
      <c r="B41" s="149" cm="1">
        <f t="array" ref="B41">B24</f>
        <v>0</v>
      </c>
      <c r="C41" s="150"/>
      <c r="D41" s="151" cm="1">
        <f t="array" ref="D41">D24</f>
        <v>0</v>
      </c>
      <c r="E41" s="152"/>
      <c r="F41" s="153"/>
      <c r="G41" t="str" s="150" cm="1">
        <f t="array" ref="G41">_xlfn.IFERROR(F41/E41,"0")</f>
        <v>0</v>
      </c>
      <c r="H41" s="153"/>
      <c r="I41" s="153"/>
      <c r="J41" s="153"/>
      <c r="K41" s="153"/>
      <c r="L41" t="str" s="150" cm="1">
        <f t="array" ref="L41">_xlfn.IFERROR(K41/J41,"0")</f>
        <v>0</v>
      </c>
      <c r="M41" s="153"/>
      <c r="N41" s="154"/>
      <c r="O41" s="13"/>
      <c r="P41" s="14"/>
      <c r="Q41" s="14"/>
      <c r="R41" s="14"/>
      <c r="S41" s="15"/>
    </row>
    <row r="42" ht="45.95" customHeight="1">
      <c r="A42" s="122"/>
      <c r="B42" s="149" cm="1">
        <f t="array" ref="B42">B25</f>
        <v>0</v>
      </c>
      <c r="C42" s="150"/>
      <c r="D42" s="151" cm="1">
        <f t="array" ref="D42">D25</f>
        <v>0</v>
      </c>
      <c r="E42" s="152"/>
      <c r="F42" s="153"/>
      <c r="G42" t="str" s="150" cm="1">
        <f t="array" ref="G42">_xlfn.IFERROR(F42/E42,"0")</f>
        <v>0</v>
      </c>
      <c r="H42" s="153"/>
      <c r="I42" s="153"/>
      <c r="J42" s="153"/>
      <c r="K42" s="153"/>
      <c r="L42" t="str" s="150" cm="1">
        <f t="array" ref="L42">_xlfn.IFERROR(K42/J42,"0")</f>
        <v>0</v>
      </c>
      <c r="M42" s="153"/>
      <c r="N42" s="154"/>
      <c r="O42" s="13"/>
      <c r="P42" s="14"/>
      <c r="Q42" s="14"/>
      <c r="R42" s="14"/>
      <c r="S42" s="15"/>
    </row>
    <row r="43" ht="45.95" customHeight="1">
      <c r="A43" s="122"/>
      <c r="B43" s="149" cm="1">
        <f t="array" ref="B43">B26</f>
        <v>0</v>
      </c>
      <c r="C43" s="153"/>
      <c r="D43" s="151" cm="1">
        <f t="array" ref="D43">D26</f>
        <v>0</v>
      </c>
      <c r="E43" s="152"/>
      <c r="F43" s="153"/>
      <c r="G43" t="str" s="150" cm="1">
        <f t="array" ref="G43">_xlfn.IFERROR(F43/E43,"0")</f>
        <v>0</v>
      </c>
      <c r="H43" s="153"/>
      <c r="I43" s="153"/>
      <c r="J43" s="153"/>
      <c r="K43" s="153"/>
      <c r="L43" t="str" s="150" cm="1">
        <f t="array" ref="L43">_xlfn.IFERROR(K43/J43,"0")</f>
        <v>0</v>
      </c>
      <c r="M43" s="153"/>
      <c r="N43" s="154"/>
      <c r="O43" s="13"/>
      <c r="P43" s="14"/>
      <c r="Q43" s="14"/>
      <c r="R43" s="14"/>
      <c r="S43" s="15"/>
    </row>
    <row r="44" ht="45.95" customHeight="1">
      <c r="A44" s="122"/>
      <c r="B44" s="149" cm="1">
        <f t="array" ref="B44">B27</f>
        <v>0</v>
      </c>
      <c r="C44" s="153"/>
      <c r="D44" s="151" cm="1">
        <f t="array" ref="D44">D27</f>
        <v>0</v>
      </c>
      <c r="E44" s="152"/>
      <c r="F44" s="153"/>
      <c r="G44" t="str" s="150" cm="1">
        <f t="array" ref="G44">_xlfn.IFERROR(F44/E44,"0")</f>
        <v>0</v>
      </c>
      <c r="H44" s="153"/>
      <c r="I44" s="153"/>
      <c r="J44" s="153"/>
      <c r="K44" s="153"/>
      <c r="L44" t="str" s="150" cm="1">
        <f t="array" ref="L44">_xlfn.IFERROR(K44/J44,"0")</f>
        <v>0</v>
      </c>
      <c r="M44" s="153"/>
      <c r="N44" s="154"/>
      <c r="O44" s="13"/>
      <c r="P44" s="14"/>
      <c r="Q44" s="14"/>
      <c r="R44" s="14"/>
      <c r="S44" s="15"/>
    </row>
    <row r="45" ht="45.95" customHeight="1">
      <c r="A45" s="122"/>
      <c r="B45" s="149" cm="1">
        <f t="array" ref="B45">B28</f>
        <v>0</v>
      </c>
      <c r="C45" s="153"/>
      <c r="D45" s="151" cm="1">
        <f t="array" ref="D45">D28</f>
        <v>0</v>
      </c>
      <c r="E45" s="152"/>
      <c r="F45" s="153"/>
      <c r="G45" t="str" s="150" cm="1">
        <f t="array" ref="G45">_xlfn.IFERROR(F45/E45,"0")</f>
        <v>0</v>
      </c>
      <c r="H45" s="153"/>
      <c r="I45" s="153"/>
      <c r="J45" s="153"/>
      <c r="K45" s="153"/>
      <c r="L45" t="str" s="150" cm="1">
        <f t="array" ref="L45">_xlfn.IFERROR(K45/J45,"0")</f>
        <v>0</v>
      </c>
      <c r="M45" s="153"/>
      <c r="N45" s="154"/>
      <c r="O45" s="13"/>
      <c r="P45" s="14"/>
      <c r="Q45" s="14"/>
      <c r="R45" s="14"/>
      <c r="S45" s="15"/>
    </row>
    <row r="46" ht="45.95" customHeight="1">
      <c r="A46" s="122"/>
      <c r="B46" s="149" cm="1">
        <f t="array" ref="B46">B29</f>
        <v>0</v>
      </c>
      <c r="C46" s="153"/>
      <c r="D46" s="151" cm="1">
        <f t="array" ref="D46">D29</f>
        <v>0</v>
      </c>
      <c r="E46" s="152"/>
      <c r="F46" s="153"/>
      <c r="G46" t="str" s="150" cm="1">
        <f t="array" ref="G46">_xlfn.IFERROR(F46/E46,"0")</f>
        <v>0</v>
      </c>
      <c r="H46" s="153"/>
      <c r="I46" s="153"/>
      <c r="J46" s="153"/>
      <c r="K46" s="153"/>
      <c r="L46" t="str" s="150" cm="1">
        <f t="array" ref="L46">_xlfn.IFERROR(K46/J46,"0")</f>
        <v>0</v>
      </c>
      <c r="M46" s="153"/>
      <c r="N46" s="154"/>
      <c r="O46" s="13"/>
      <c r="P46" s="14"/>
      <c r="Q46" s="14"/>
      <c r="R46" s="14"/>
      <c r="S46" s="15"/>
    </row>
    <row r="47" ht="45.95" customHeight="1">
      <c r="A47" s="122"/>
      <c r="B47" s="149" cm="1">
        <f t="array" ref="B47">B30</f>
        <v>0</v>
      </c>
      <c r="C47" s="153"/>
      <c r="D47" s="151" cm="1">
        <f t="array" ref="D47">D30</f>
        <v>0</v>
      </c>
      <c r="E47" s="152"/>
      <c r="F47" s="153"/>
      <c r="G47" t="str" s="150" cm="1">
        <f t="array" ref="G47">_xlfn.IFERROR(F47/E47,"0")</f>
        <v>0</v>
      </c>
      <c r="H47" s="153"/>
      <c r="I47" s="153"/>
      <c r="J47" s="153"/>
      <c r="K47" s="153"/>
      <c r="L47" t="str" s="150" cm="1">
        <f t="array" ref="L47">_xlfn.IFERROR(K47/J47,"0")</f>
        <v>0</v>
      </c>
      <c r="M47" s="153"/>
      <c r="N47" s="154"/>
      <c r="O47" s="13"/>
      <c r="P47" s="14"/>
      <c r="Q47" s="14"/>
      <c r="R47" s="14"/>
      <c r="S47" s="15"/>
    </row>
    <row r="48" ht="45.95" customHeight="1">
      <c r="A48" s="155"/>
      <c r="B48" t="s" s="156">
        <v>35</v>
      </c>
      <c r="C48" s="157"/>
      <c r="D48" s="158" cm="1">
        <f t="array" ref="D48">SUM(D40:D42)</f>
        <v>0</v>
      </c>
      <c r="E48" s="159" cm="1">
        <f t="array" ref="E48">SUM(E40:E47)</f>
        <v>0</v>
      </c>
      <c r="F48" s="159" cm="1">
        <f t="array" ref="F48">SUM(F40:F47)</f>
        <v>0</v>
      </c>
      <c r="G48" t="str" s="157" cm="1">
        <f t="array" ref="G48">_xlfn.IFERROR(F48/E48,"0")</f>
        <v>0</v>
      </c>
      <c r="H48" s="159" cm="1">
        <f t="array" ref="H48">SUM(H40:H47)</f>
        <v>0</v>
      </c>
      <c r="I48" s="159" cm="1">
        <f t="array" ref="I48">SUM(I40:I47)</f>
        <v>0</v>
      </c>
      <c r="J48" s="159" cm="1">
        <f t="array" ref="J48">SUM(J40:J47)</f>
        <v>0</v>
      </c>
      <c r="K48" s="159" cm="1">
        <f t="array" ref="K48">SUM(K40:K47)</f>
        <v>0</v>
      </c>
      <c r="L48" t="str" s="157" cm="1">
        <f t="array" ref="L48">_xlfn.IFERROR(K48/J48,"0")</f>
        <v>0</v>
      </c>
      <c r="M48" s="159" cm="1">
        <f t="array" ref="M48">SUM(M40:M47)</f>
        <v>0</v>
      </c>
      <c r="N48" s="159" cm="1">
        <f t="array" ref="N48">SUM(N40:N47)</f>
        <v>0</v>
      </c>
      <c r="O48" s="160"/>
      <c r="P48" s="161"/>
      <c r="Q48" s="162">
        <v>3</v>
      </c>
      <c r="R48" s="161"/>
      <c r="S48" s="163"/>
    </row>
  </sheetData>
  <mergeCells count="90">
    <mergeCell ref="N12:O12"/>
    <mergeCell ref="B42:C42"/>
    <mergeCell ref="B41:C41"/>
    <mergeCell ref="B39:C39"/>
    <mergeCell ref="B40:C40"/>
    <mergeCell ref="B35:C36"/>
    <mergeCell ref="I35:J35"/>
    <mergeCell ref="I36:J36"/>
    <mergeCell ref="D25:E25"/>
    <mergeCell ref="D26:E26"/>
    <mergeCell ref="D27:E27"/>
    <mergeCell ref="C1:E1"/>
    <mergeCell ref="B4:D4"/>
    <mergeCell ref="B5:C5"/>
    <mergeCell ref="B6:C6"/>
    <mergeCell ref="B7:C7"/>
    <mergeCell ref="B48:C48"/>
    <mergeCell ref="L10:M10"/>
    <mergeCell ref="N10:O10"/>
    <mergeCell ref="B11:E11"/>
    <mergeCell ref="A33:P33"/>
    <mergeCell ref="M22:P31"/>
    <mergeCell ref="B22:C22"/>
    <mergeCell ref="B31:C31"/>
    <mergeCell ref="L12:M12"/>
    <mergeCell ref="L11:M11"/>
    <mergeCell ref="N11:O11"/>
    <mergeCell ref="L14:M14"/>
    <mergeCell ref="N14:O14"/>
    <mergeCell ref="L8:O8"/>
    <mergeCell ref="L4:N4"/>
    <mergeCell ref="L5:M5"/>
    <mergeCell ref="L6:M6"/>
    <mergeCell ref="L7:M7"/>
    <mergeCell ref="G11:J11"/>
    <mergeCell ref="D12:E12"/>
    <mergeCell ref="D13:E13"/>
    <mergeCell ref="I12:J12"/>
    <mergeCell ref="G4:J4"/>
    <mergeCell ref="G5:I5"/>
    <mergeCell ref="G6:I6"/>
    <mergeCell ref="G7:I7"/>
    <mergeCell ref="G8:I8"/>
    <mergeCell ref="I30:J30"/>
    <mergeCell ref="I31:J31"/>
    <mergeCell ref="D24:E24"/>
    <mergeCell ref="D30:E30"/>
    <mergeCell ref="D31:E31"/>
    <mergeCell ref="G31:H31"/>
    <mergeCell ref="D28:E28"/>
    <mergeCell ref="D29:E29"/>
    <mergeCell ref="O1:P1"/>
    <mergeCell ref="A2:P2"/>
    <mergeCell ref="I24:J24"/>
    <mergeCell ref="G22:H22"/>
    <mergeCell ref="B12:C12"/>
    <mergeCell ref="D22:E22"/>
    <mergeCell ref="D23:E23"/>
    <mergeCell ref="G9:J9"/>
    <mergeCell ref="B8:C8"/>
    <mergeCell ref="I22:J22"/>
    <mergeCell ref="I23:J23"/>
    <mergeCell ref="B13:C13"/>
    <mergeCell ref="G12:H12"/>
    <mergeCell ref="I25:J25"/>
    <mergeCell ref="I26:J26"/>
    <mergeCell ref="I27:J27"/>
    <mergeCell ref="I28:J28"/>
    <mergeCell ref="I29:J29"/>
    <mergeCell ref="B47:C47"/>
    <mergeCell ref="B46:C46"/>
    <mergeCell ref="B45:C45"/>
    <mergeCell ref="B44:C44"/>
    <mergeCell ref="B43:C43"/>
    <mergeCell ref="G30:H30"/>
    <mergeCell ref="G29:H29"/>
    <mergeCell ref="G28:H28"/>
    <mergeCell ref="G27:H27"/>
    <mergeCell ref="G26:H26"/>
    <mergeCell ref="G25:H25"/>
    <mergeCell ref="G24:H24"/>
    <mergeCell ref="G23:H23"/>
    <mergeCell ref="B30:C30"/>
    <mergeCell ref="B29:C29"/>
    <mergeCell ref="B28:C28"/>
    <mergeCell ref="B27:C27"/>
    <mergeCell ref="B26:C26"/>
    <mergeCell ref="B25:C25"/>
    <mergeCell ref="B24:C24"/>
    <mergeCell ref="B23:C23"/>
  </mergeCells>
  <pageMargins left="0.25" right="0.25" top="0.32" bottom="0.29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HR36"/>
  <sheetViews>
    <sheetView workbookViewId="0" showGridLines="0" defaultGridColor="1"/>
  </sheetViews>
  <sheetFormatPr defaultColWidth="16.1667" defaultRowHeight="54.75" customHeight="1" outlineLevelRow="0" outlineLevelCol="0"/>
  <cols>
    <col min="1" max="226" width="16.1719" style="272" customWidth="1"/>
    <col min="227" max="16384" width="16.1719" style="272" customWidth="1"/>
  </cols>
  <sheetData>
    <row r="1" ht="94.5" customHeight="1">
      <c r="A1" s="165"/>
      <c r="B1" s="166"/>
      <c r="C1" t="s" s="167">
        <v>73</v>
      </c>
      <c r="D1" s="168"/>
      <c r="E1" s="168"/>
      <c r="F1" s="168"/>
      <c r="G1" s="168"/>
      <c r="H1" s="169"/>
      <c r="I1" t="s" s="170">
        <v>1</v>
      </c>
      <c r="J1" s="171"/>
      <c r="K1" t="s" s="172">
        <v>2</v>
      </c>
      <c r="L1" s="173"/>
      <c r="M1" s="174"/>
      <c r="N1" t="s" s="175">
        <v>4</v>
      </c>
      <c r="O1" s="176"/>
      <c r="P1" s="177"/>
      <c r="Q1" s="178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80"/>
    </row>
    <row r="2" ht="54.75" customHeight="1">
      <c r="A2" t="s" s="181">
        <v>74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3"/>
      <c r="Q2" s="184"/>
      <c r="R2" s="185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7"/>
    </row>
    <row r="3" ht="54.75" customHeight="1">
      <c r="A3" s="188"/>
      <c r="B3" s="189"/>
      <c r="C3" s="189"/>
      <c r="D3" s="189"/>
      <c r="E3" s="189"/>
      <c r="F3" s="189"/>
      <c r="G3" s="190"/>
      <c r="H3" s="190"/>
      <c r="I3" s="189"/>
      <c r="J3" s="189"/>
      <c r="K3" s="189"/>
      <c r="L3" s="189"/>
      <c r="M3" s="189"/>
      <c r="N3" s="189"/>
      <c r="O3" s="189"/>
      <c r="P3" s="189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7"/>
    </row>
    <row r="4" ht="54.75" customHeight="1">
      <c r="A4" s="191"/>
      <c r="B4" t="s" s="192">
        <v>40</v>
      </c>
      <c r="C4" t="s" s="193">
        <v>75</v>
      </c>
      <c r="D4" t="s" s="193">
        <v>76</v>
      </c>
      <c r="E4" t="s" s="193">
        <v>77</v>
      </c>
      <c r="F4" t="s" s="194">
        <v>78</v>
      </c>
      <c r="G4" s="195"/>
      <c r="H4" s="196"/>
      <c r="I4" t="s" s="197">
        <v>79</v>
      </c>
      <c r="J4" s="198"/>
      <c r="K4" s="198"/>
      <c r="L4" s="198"/>
      <c r="M4" s="198"/>
      <c r="N4" s="198"/>
      <c r="O4" s="198"/>
      <c r="P4" s="199"/>
      <c r="Q4" s="195"/>
      <c r="R4" s="200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  <c r="FD4" s="186"/>
      <c r="FE4" s="186"/>
      <c r="FF4" s="186"/>
      <c r="FG4" s="186"/>
      <c r="FH4" s="186"/>
      <c r="FI4" s="186"/>
      <c r="FJ4" s="186"/>
      <c r="FK4" s="186"/>
      <c r="FL4" s="186"/>
      <c r="FM4" s="186"/>
      <c r="FN4" s="186"/>
      <c r="FO4" s="186"/>
      <c r="FP4" s="186"/>
      <c r="FQ4" s="186"/>
      <c r="FR4" s="186"/>
      <c r="FS4" s="186"/>
      <c r="FT4" s="186"/>
      <c r="FU4" s="186"/>
      <c r="FV4" s="186"/>
      <c r="FW4" s="186"/>
      <c r="FX4" s="186"/>
      <c r="FY4" s="186"/>
      <c r="FZ4" s="186"/>
      <c r="GA4" s="186"/>
      <c r="GB4" s="186"/>
      <c r="GC4" s="186"/>
      <c r="GD4" s="186"/>
      <c r="GE4" s="186"/>
      <c r="GF4" s="186"/>
      <c r="GG4" s="186"/>
      <c r="GH4" s="186"/>
      <c r="GI4" s="186"/>
      <c r="GJ4" s="186"/>
      <c r="GK4" s="186"/>
      <c r="GL4" s="186"/>
      <c r="GM4" s="186"/>
      <c r="GN4" s="186"/>
      <c r="GO4" s="186"/>
      <c r="GP4" s="186"/>
      <c r="GQ4" s="186"/>
      <c r="GR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  <c r="HL4" s="186"/>
      <c r="HM4" s="186"/>
      <c r="HN4" s="186"/>
      <c r="HO4" s="186"/>
      <c r="HP4" s="186"/>
      <c r="HQ4" s="186"/>
      <c r="HR4" s="187"/>
    </row>
    <row r="5" ht="54.75" customHeight="1">
      <c r="A5" s="191"/>
      <c r="B5" s="201" cm="1">
        <f t="array" ref="B5">'LUNES'!D31</f>
        <v>0</v>
      </c>
      <c r="C5" s="202" cm="1">
        <f t="array" ref="C5">'LUNES'!D5</f>
        <v>0</v>
      </c>
      <c r="D5" s="202" cm="1">
        <f t="array" ref="D5">'LUNES'!D8</f>
      </c>
      <c r="E5" s="202" cm="1">
        <f t="array" ref="E5">'LUNES'!D12</f>
      </c>
      <c r="F5" s="203" cm="1">
        <f t="array" ref="F5">'LUNES'!D13</f>
      </c>
      <c r="G5" s="195"/>
      <c r="H5" s="196"/>
      <c r="I5" s="204"/>
      <c r="J5" s="205"/>
      <c r="K5" s="205"/>
      <c r="L5" s="205"/>
      <c r="M5" s="205"/>
      <c r="N5" s="205"/>
      <c r="O5" s="205"/>
      <c r="P5" s="206"/>
      <c r="Q5" s="195"/>
      <c r="R5" s="200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/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/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86"/>
      <c r="GI5" s="186"/>
      <c r="GJ5" s="186"/>
      <c r="GK5" s="186"/>
      <c r="GL5" s="186"/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/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7"/>
    </row>
    <row r="6" ht="54.75" customHeight="1">
      <c r="A6" s="207"/>
      <c r="B6" s="208"/>
      <c r="C6" s="208"/>
      <c r="D6" s="208"/>
      <c r="E6" s="208"/>
      <c r="F6" s="208"/>
      <c r="G6" s="186"/>
      <c r="H6" s="186"/>
      <c r="I6" s="208"/>
      <c r="J6" s="208"/>
      <c r="K6" s="208"/>
      <c r="L6" s="208"/>
      <c r="M6" s="208"/>
      <c r="N6" s="208"/>
      <c r="O6" s="208"/>
      <c r="P6" s="208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/>
      <c r="ET6" s="186"/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/>
      <c r="HC6" s="186"/>
      <c r="HD6" s="186"/>
      <c r="HE6" s="186"/>
      <c r="HF6" s="186"/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7"/>
    </row>
    <row r="7" ht="54.75" customHeight="1">
      <c r="A7" s="191"/>
      <c r="B7" t="s" s="209">
        <v>80</v>
      </c>
      <c r="C7" s="210"/>
      <c r="D7" s="210"/>
      <c r="E7" s="210"/>
      <c r="F7" s="211"/>
      <c r="G7" s="195"/>
      <c r="H7" s="196"/>
      <c r="I7" t="s" s="209">
        <v>81</v>
      </c>
      <c r="J7" s="210"/>
      <c r="K7" s="210"/>
      <c r="L7" s="210"/>
      <c r="M7" s="210"/>
      <c r="N7" s="210"/>
      <c r="O7" s="210"/>
      <c r="P7" s="211"/>
      <c r="Q7" s="195"/>
      <c r="R7" s="212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  <c r="DM7" s="186"/>
      <c r="DN7" s="186"/>
      <c r="DO7" s="186"/>
      <c r="DP7" s="186"/>
      <c r="DQ7" s="186"/>
      <c r="DR7" s="186"/>
      <c r="DS7" s="186"/>
      <c r="DT7" s="186"/>
      <c r="DU7" s="186"/>
      <c r="DV7" s="186"/>
      <c r="DW7" s="186"/>
      <c r="DX7" s="186"/>
      <c r="DY7" s="186"/>
      <c r="DZ7" s="186"/>
      <c r="EA7" s="186"/>
      <c r="EB7" s="186"/>
      <c r="EC7" s="186"/>
      <c r="ED7" s="186"/>
      <c r="EE7" s="186"/>
      <c r="EF7" s="186"/>
      <c r="EG7" s="186"/>
      <c r="EH7" s="186"/>
      <c r="EI7" s="186"/>
      <c r="EJ7" s="186"/>
      <c r="EK7" s="186"/>
      <c r="EL7" s="186"/>
      <c r="EM7" s="186"/>
      <c r="EN7" s="186"/>
      <c r="EO7" s="186"/>
      <c r="EP7" s="186"/>
      <c r="EQ7" s="186"/>
      <c r="ER7" s="186"/>
      <c r="ES7" s="186"/>
      <c r="ET7" s="186"/>
      <c r="EU7" s="186"/>
      <c r="EV7" s="186"/>
      <c r="EW7" s="186"/>
      <c r="EX7" s="186"/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6"/>
      <c r="FS7" s="186"/>
      <c r="FT7" s="186"/>
      <c r="FU7" s="186"/>
      <c r="FV7" s="186"/>
      <c r="FW7" s="186"/>
      <c r="FX7" s="186"/>
      <c r="FY7" s="186"/>
      <c r="FZ7" s="186"/>
      <c r="GA7" s="186"/>
      <c r="GB7" s="186"/>
      <c r="GC7" s="186"/>
      <c r="GD7" s="186"/>
      <c r="GE7" s="186"/>
      <c r="GF7" s="186"/>
      <c r="GG7" s="186"/>
      <c r="GH7" s="186"/>
      <c r="GI7" s="186"/>
      <c r="GJ7" s="186"/>
      <c r="GK7" s="186"/>
      <c r="GL7" s="186"/>
      <c r="GM7" s="186"/>
      <c r="GN7" s="186"/>
      <c r="GO7" s="186"/>
      <c r="GP7" s="186"/>
      <c r="GQ7" s="186"/>
      <c r="GR7" s="186"/>
      <c r="GS7" s="186"/>
      <c r="GT7" s="186"/>
      <c r="GU7" s="186"/>
      <c r="GV7" s="186"/>
      <c r="GW7" s="186"/>
      <c r="GX7" s="186"/>
      <c r="GY7" s="186"/>
      <c r="GZ7" s="186"/>
      <c r="HA7" s="186"/>
      <c r="HB7" s="186"/>
      <c r="HC7" s="186"/>
      <c r="HD7" s="186"/>
      <c r="HE7" s="186"/>
      <c r="HF7" s="186"/>
      <c r="HG7" s="186"/>
      <c r="HH7" s="186"/>
      <c r="HI7" s="186"/>
      <c r="HJ7" s="186"/>
      <c r="HK7" s="186"/>
      <c r="HL7" s="186"/>
      <c r="HM7" s="186"/>
      <c r="HN7" s="186"/>
      <c r="HO7" s="186"/>
      <c r="HP7" s="186"/>
      <c r="HQ7" s="186"/>
      <c r="HR7" s="187"/>
    </row>
    <row r="8" ht="54.75" customHeight="1">
      <c r="A8" s="207"/>
      <c r="B8" s="213"/>
      <c r="C8" s="213"/>
      <c r="D8" s="213"/>
      <c r="E8" s="213"/>
      <c r="F8" s="213"/>
      <c r="G8" s="186"/>
      <c r="H8" s="186"/>
      <c r="I8" s="213"/>
      <c r="J8" s="213"/>
      <c r="K8" s="213"/>
      <c r="L8" s="213"/>
      <c r="M8" s="213"/>
      <c r="N8" s="213"/>
      <c r="O8" s="213"/>
      <c r="P8" s="213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  <c r="DM8" s="186"/>
      <c r="DN8" s="186"/>
      <c r="DO8" s="186"/>
      <c r="DP8" s="186"/>
      <c r="DQ8" s="186"/>
      <c r="DR8" s="186"/>
      <c r="DS8" s="186"/>
      <c r="DT8" s="186"/>
      <c r="DU8" s="186"/>
      <c r="DV8" s="186"/>
      <c r="DW8" s="186"/>
      <c r="DX8" s="186"/>
      <c r="DY8" s="186"/>
      <c r="DZ8" s="186"/>
      <c r="EA8" s="186"/>
      <c r="EB8" s="186"/>
      <c r="EC8" s="186"/>
      <c r="ED8" s="186"/>
      <c r="EE8" s="186"/>
      <c r="EF8" s="186"/>
      <c r="EG8" s="186"/>
      <c r="EH8" s="186"/>
      <c r="EI8" s="186"/>
      <c r="EJ8" s="186"/>
      <c r="EK8" s="186"/>
      <c r="EL8" s="186"/>
      <c r="EM8" s="186"/>
      <c r="EN8" s="186"/>
      <c r="EO8" s="186"/>
      <c r="EP8" s="186"/>
      <c r="EQ8" s="186"/>
      <c r="ER8" s="186"/>
      <c r="ES8" s="186"/>
      <c r="ET8" s="186"/>
      <c r="EU8" s="186"/>
      <c r="EV8" s="186"/>
      <c r="EW8" s="186"/>
      <c r="EX8" s="186"/>
      <c r="EY8" s="186"/>
      <c r="EZ8" s="186"/>
      <c r="FA8" s="186"/>
      <c r="FB8" s="186"/>
      <c r="FC8" s="186"/>
      <c r="FD8" s="186"/>
      <c r="FE8" s="186"/>
      <c r="FF8" s="186"/>
      <c r="FG8" s="186"/>
      <c r="FH8" s="186"/>
      <c r="FI8" s="186"/>
      <c r="FJ8" s="186"/>
      <c r="FK8" s="186"/>
      <c r="FL8" s="186"/>
      <c r="FM8" s="186"/>
      <c r="FN8" s="186"/>
      <c r="FO8" s="186"/>
      <c r="FP8" s="186"/>
      <c r="FQ8" s="186"/>
      <c r="FR8" s="186"/>
      <c r="FS8" s="186"/>
      <c r="FT8" s="186"/>
      <c r="FU8" s="186"/>
      <c r="FV8" s="186"/>
      <c r="FW8" s="186"/>
      <c r="FX8" s="186"/>
      <c r="FY8" s="186"/>
      <c r="FZ8" s="186"/>
      <c r="GA8" s="186"/>
      <c r="GB8" s="186"/>
      <c r="GC8" s="186"/>
      <c r="GD8" s="186"/>
      <c r="GE8" s="186"/>
      <c r="GF8" s="186"/>
      <c r="GG8" s="186"/>
      <c r="GH8" s="186"/>
      <c r="GI8" s="186"/>
      <c r="GJ8" s="186"/>
      <c r="GK8" s="186"/>
      <c r="GL8" s="186"/>
      <c r="GM8" s="186"/>
      <c r="GN8" s="186"/>
      <c r="GO8" s="186"/>
      <c r="GP8" s="186"/>
      <c r="GQ8" s="186"/>
      <c r="GR8" s="186"/>
      <c r="GS8" s="186"/>
      <c r="GT8" s="186"/>
      <c r="GU8" s="186"/>
      <c r="GV8" s="186"/>
      <c r="GW8" s="186"/>
      <c r="GX8" s="186"/>
      <c r="GY8" s="186"/>
      <c r="GZ8" s="186"/>
      <c r="HA8" s="186"/>
      <c r="HB8" s="186"/>
      <c r="HC8" s="186"/>
      <c r="HD8" s="186"/>
      <c r="HE8" s="186"/>
      <c r="HF8" s="186"/>
      <c r="HG8" s="186"/>
      <c r="HH8" s="186"/>
      <c r="HI8" s="186"/>
      <c r="HJ8" s="186"/>
      <c r="HK8" s="186"/>
      <c r="HL8" s="186"/>
      <c r="HM8" s="186"/>
      <c r="HN8" s="186"/>
      <c r="HO8" s="186"/>
      <c r="HP8" s="186"/>
      <c r="HQ8" s="186"/>
      <c r="HR8" s="187"/>
    </row>
    <row r="9" ht="54.75" customHeight="1">
      <c r="A9" s="207"/>
      <c r="B9" t="s" s="214">
        <v>82</v>
      </c>
      <c r="C9" s="215"/>
      <c r="D9" s="215"/>
      <c r="E9" s="215"/>
      <c r="F9" s="216"/>
      <c r="G9" s="186"/>
      <c r="H9" s="186"/>
      <c r="I9" t="s" s="217">
        <v>83</v>
      </c>
      <c r="J9" s="218"/>
      <c r="K9" s="218"/>
      <c r="L9" s="218"/>
      <c r="M9" s="218"/>
      <c r="N9" s="218"/>
      <c r="O9" s="218"/>
      <c r="P9" s="215"/>
      <c r="Q9" s="186"/>
      <c r="R9" s="215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7"/>
    </row>
    <row r="10" ht="54.75" customHeight="1">
      <c r="A10" s="207"/>
      <c r="B10" t="s" s="214">
        <v>84</v>
      </c>
      <c r="C10" s="215"/>
      <c r="D10" s="215"/>
      <c r="E10" s="215"/>
      <c r="F10" s="219"/>
      <c r="G10" s="186"/>
      <c r="H10" s="186"/>
      <c r="I10" t="s" s="220">
        <v>85</v>
      </c>
      <c r="J10" s="221"/>
      <c r="K10" s="221"/>
      <c r="L10" s="221"/>
      <c r="M10" s="221"/>
      <c r="N10" s="221"/>
      <c r="O10" s="221"/>
      <c r="P10" s="222"/>
      <c r="Q10" s="186"/>
      <c r="R10" s="222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  <c r="DM10" s="186"/>
      <c r="DN10" s="186"/>
      <c r="DO10" s="186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6"/>
      <c r="EP10" s="186"/>
      <c r="EQ10" s="186"/>
      <c r="ER10" s="186"/>
      <c r="ES10" s="186"/>
      <c r="ET10" s="186"/>
      <c r="EU10" s="186"/>
      <c r="EV10" s="186"/>
      <c r="EW10" s="186"/>
      <c r="EX10" s="186"/>
      <c r="EY10" s="186"/>
      <c r="EZ10" s="186"/>
      <c r="FA10" s="186"/>
      <c r="FB10" s="186"/>
      <c r="FC10" s="186"/>
      <c r="FD10" s="186"/>
      <c r="FE10" s="186"/>
      <c r="FF10" s="186"/>
      <c r="FG10" s="186"/>
      <c r="FH10" s="186"/>
      <c r="FI10" s="186"/>
      <c r="FJ10" s="186"/>
      <c r="FK10" s="186"/>
      <c r="FL10" s="186"/>
      <c r="FM10" s="186"/>
      <c r="FN10" s="186"/>
      <c r="FO10" s="186"/>
      <c r="FP10" s="186"/>
      <c r="FQ10" s="186"/>
      <c r="FR10" s="186"/>
      <c r="FS10" s="186"/>
      <c r="FT10" s="186"/>
      <c r="FU10" s="186"/>
      <c r="FV10" s="186"/>
      <c r="FW10" s="186"/>
      <c r="FX10" s="186"/>
      <c r="FY10" s="186"/>
      <c r="FZ10" s="186"/>
      <c r="GA10" s="186"/>
      <c r="GB10" s="186"/>
      <c r="GC10" s="186"/>
      <c r="GD10" s="186"/>
      <c r="GE10" s="186"/>
      <c r="GF10" s="186"/>
      <c r="GG10" s="186"/>
      <c r="GH10" s="186"/>
      <c r="GI10" s="186"/>
      <c r="GJ10" s="186"/>
      <c r="GK10" s="186"/>
      <c r="GL10" s="186"/>
      <c r="GM10" s="186"/>
      <c r="GN10" s="186"/>
      <c r="GO10" s="186"/>
      <c r="GP10" s="186"/>
      <c r="GQ10" s="186"/>
      <c r="GR10" s="186"/>
      <c r="GS10" s="186"/>
      <c r="GT10" s="186"/>
      <c r="GU10" s="186"/>
      <c r="GV10" s="186"/>
      <c r="GW10" s="186"/>
      <c r="GX10" s="186"/>
      <c r="GY10" s="186"/>
      <c r="GZ10" s="186"/>
      <c r="HA10" s="186"/>
      <c r="HB10" s="186"/>
      <c r="HC10" s="186"/>
      <c r="HD10" s="186"/>
      <c r="HE10" s="186"/>
      <c r="HF10" s="186"/>
      <c r="HG10" s="186"/>
      <c r="HH10" s="186"/>
      <c r="HI10" s="186"/>
      <c r="HJ10" s="186"/>
      <c r="HK10" s="186"/>
      <c r="HL10" s="186"/>
      <c r="HM10" s="186"/>
      <c r="HN10" s="186"/>
      <c r="HO10" s="186"/>
      <c r="HP10" s="186"/>
      <c r="HQ10" s="186"/>
      <c r="HR10" s="187"/>
    </row>
    <row r="11" ht="54.75" customHeight="1">
      <c r="A11" s="207"/>
      <c r="B11" t="s" s="214">
        <v>86</v>
      </c>
      <c r="C11" s="215"/>
      <c r="D11" s="215"/>
      <c r="E11" s="215"/>
      <c r="F11" s="219"/>
      <c r="G11" s="186"/>
      <c r="H11" s="186"/>
      <c r="I11" t="s" s="220">
        <v>87</v>
      </c>
      <c r="J11" s="221"/>
      <c r="K11" s="221"/>
      <c r="L11" s="221"/>
      <c r="M11" s="221"/>
      <c r="N11" s="221"/>
      <c r="O11" s="221"/>
      <c r="P11" s="222"/>
      <c r="Q11" s="186"/>
      <c r="R11" s="222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/>
      <c r="ER11" s="186"/>
      <c r="ES11" s="186"/>
      <c r="ET11" s="186"/>
      <c r="EU11" s="186"/>
      <c r="EV11" s="186"/>
      <c r="EW11" s="186"/>
      <c r="EX11" s="186"/>
      <c r="EY11" s="186"/>
      <c r="EZ11" s="186"/>
      <c r="FA11" s="186"/>
      <c r="FB11" s="186"/>
      <c r="FC11" s="186"/>
      <c r="FD11" s="186"/>
      <c r="FE11" s="186"/>
      <c r="FF11" s="186"/>
      <c r="FG11" s="186"/>
      <c r="FH11" s="186"/>
      <c r="FI11" s="186"/>
      <c r="FJ11" s="186"/>
      <c r="FK11" s="186"/>
      <c r="FL11" s="186"/>
      <c r="FM11" s="186"/>
      <c r="FN11" s="186"/>
      <c r="FO11" s="186"/>
      <c r="FP11" s="186"/>
      <c r="FQ11" s="186"/>
      <c r="FR11" s="186"/>
      <c r="FS11" s="186"/>
      <c r="FT11" s="186"/>
      <c r="FU11" s="186"/>
      <c r="FV11" s="186"/>
      <c r="FW11" s="186"/>
      <c r="FX11" s="186"/>
      <c r="FY11" s="186"/>
      <c r="FZ11" s="186"/>
      <c r="GA11" s="186"/>
      <c r="GB11" s="186"/>
      <c r="GC11" s="186"/>
      <c r="GD11" s="186"/>
      <c r="GE11" s="186"/>
      <c r="GF11" s="186"/>
      <c r="GG11" s="186"/>
      <c r="GH11" s="186"/>
      <c r="GI11" s="186"/>
      <c r="GJ11" s="186"/>
      <c r="GK11" s="186"/>
      <c r="GL11" s="186"/>
      <c r="GM11" s="186"/>
      <c r="GN11" s="186"/>
      <c r="GO11" s="186"/>
      <c r="GP11" s="186"/>
      <c r="GQ11" s="186"/>
      <c r="GR11" s="186"/>
      <c r="GS11" s="186"/>
      <c r="GT11" s="186"/>
      <c r="GU11" s="186"/>
      <c r="GV11" s="186"/>
      <c r="GW11" s="186"/>
      <c r="GX11" s="186"/>
      <c r="GY11" s="186"/>
      <c r="GZ11" s="186"/>
      <c r="HA11" s="186"/>
      <c r="HB11" s="186"/>
      <c r="HC11" s="186"/>
      <c r="HD11" s="186"/>
      <c r="HE11" s="186"/>
      <c r="HF11" s="186"/>
      <c r="HG11" s="186"/>
      <c r="HH11" s="186"/>
      <c r="HI11" s="186"/>
      <c r="HJ11" s="186"/>
      <c r="HK11" s="186"/>
      <c r="HL11" s="186"/>
      <c r="HM11" s="186"/>
      <c r="HN11" s="186"/>
      <c r="HO11" s="186"/>
      <c r="HP11" s="186"/>
      <c r="HQ11" s="186"/>
      <c r="HR11" s="187"/>
    </row>
    <row r="12" ht="54.75" customHeight="1">
      <c r="A12" s="207"/>
      <c r="B12" s="186"/>
      <c r="C12" s="215"/>
      <c r="D12" s="215"/>
      <c r="E12" s="215"/>
      <c r="F12" s="223"/>
      <c r="G12" s="186"/>
      <c r="H12" s="186"/>
      <c r="I12" t="s" s="220">
        <v>88</v>
      </c>
      <c r="J12" s="221"/>
      <c r="K12" s="221"/>
      <c r="L12" s="221"/>
      <c r="M12" s="221"/>
      <c r="N12" s="221"/>
      <c r="O12" s="221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87"/>
    </row>
    <row r="13" ht="54.75" customHeight="1">
      <c r="A13" s="207"/>
      <c r="B13" s="224"/>
      <c r="C13" s="224"/>
      <c r="D13" s="224"/>
      <c r="E13" s="224"/>
      <c r="F13" s="224"/>
      <c r="G13" s="186"/>
      <c r="H13" s="186"/>
      <c r="I13" s="225"/>
      <c r="J13" s="226"/>
      <c r="K13" s="226"/>
      <c r="L13" s="226"/>
      <c r="M13" s="226"/>
      <c r="N13" s="226"/>
      <c r="O13" s="226"/>
      <c r="P13" s="226"/>
      <c r="Q13" s="186"/>
      <c r="R13" s="222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6"/>
      <c r="EO13" s="186"/>
      <c r="EP13" s="186"/>
      <c r="EQ13" s="186"/>
      <c r="ER13" s="186"/>
      <c r="ES13" s="186"/>
      <c r="ET13" s="186"/>
      <c r="EU13" s="186"/>
      <c r="EV13" s="186"/>
      <c r="EW13" s="186"/>
      <c r="EX13" s="186"/>
      <c r="EY13" s="186"/>
      <c r="EZ13" s="186"/>
      <c r="FA13" s="186"/>
      <c r="FB13" s="186"/>
      <c r="FC13" s="186"/>
      <c r="FD13" s="186"/>
      <c r="FE13" s="186"/>
      <c r="FF13" s="186"/>
      <c r="FG13" s="186"/>
      <c r="FH13" s="186"/>
      <c r="FI13" s="186"/>
      <c r="FJ13" s="186"/>
      <c r="FK13" s="186"/>
      <c r="FL13" s="186"/>
      <c r="FM13" s="186"/>
      <c r="FN13" s="186"/>
      <c r="FO13" s="186"/>
      <c r="FP13" s="186"/>
      <c r="FQ13" s="186"/>
      <c r="FR13" s="186"/>
      <c r="FS13" s="186"/>
      <c r="FT13" s="186"/>
      <c r="FU13" s="186"/>
      <c r="FV13" s="186"/>
      <c r="FW13" s="186"/>
      <c r="FX13" s="186"/>
      <c r="FY13" s="186"/>
      <c r="FZ13" s="186"/>
      <c r="GA13" s="186"/>
      <c r="GB13" s="186"/>
      <c r="GC13" s="186"/>
      <c r="GD13" s="186"/>
      <c r="GE13" s="186"/>
      <c r="GF13" s="186"/>
      <c r="GG13" s="186"/>
      <c r="GH13" s="186"/>
      <c r="GI13" s="186"/>
      <c r="GJ13" s="186"/>
      <c r="GK13" s="186"/>
      <c r="GL13" s="186"/>
      <c r="GM13" s="186"/>
      <c r="GN13" s="186"/>
      <c r="GO13" s="186"/>
      <c r="GP13" s="186"/>
      <c r="GQ13" s="186"/>
      <c r="GR13" s="186"/>
      <c r="GS13" s="186"/>
      <c r="GT13" s="186"/>
      <c r="GU13" s="186"/>
      <c r="GV13" s="186"/>
      <c r="GW13" s="186"/>
      <c r="GX13" s="186"/>
      <c r="GY13" s="186"/>
      <c r="GZ13" s="186"/>
      <c r="HA13" s="186"/>
      <c r="HB13" s="186"/>
      <c r="HC13" s="186"/>
      <c r="HD13" s="186"/>
      <c r="HE13" s="186"/>
      <c r="HF13" s="186"/>
      <c r="HG13" s="186"/>
      <c r="HH13" s="186"/>
      <c r="HI13" s="186"/>
      <c r="HJ13" s="186"/>
      <c r="HK13" s="186"/>
      <c r="HL13" s="186"/>
      <c r="HM13" s="186"/>
      <c r="HN13" s="186"/>
      <c r="HO13" s="186"/>
      <c r="HP13" s="186"/>
      <c r="HQ13" s="186"/>
      <c r="HR13" s="187"/>
    </row>
    <row r="14" ht="54.75" customHeight="1">
      <c r="A14" s="191"/>
      <c r="B14" t="s" s="209">
        <v>89</v>
      </c>
      <c r="C14" s="210"/>
      <c r="D14" s="210"/>
      <c r="E14" s="210"/>
      <c r="F14" s="211"/>
      <c r="G14" s="195"/>
      <c r="H14" s="227"/>
      <c r="I14" t="s" s="228">
        <v>90</v>
      </c>
      <c r="J14" s="229"/>
      <c r="K14" s="229"/>
      <c r="L14" s="229"/>
      <c r="M14" s="229"/>
      <c r="N14" s="229"/>
      <c r="O14" s="229"/>
      <c r="P14" s="230"/>
      <c r="Q14" s="231"/>
      <c r="R14" s="222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/>
      <c r="EQ14" s="186"/>
      <c r="ER14" s="186"/>
      <c r="ES14" s="186"/>
      <c r="ET14" s="186"/>
      <c r="EU14" s="186"/>
      <c r="EV14" s="186"/>
      <c r="EW14" s="186"/>
      <c r="EX14" s="186"/>
      <c r="EY14" s="186"/>
      <c r="EZ14" s="186"/>
      <c r="FA14" s="186"/>
      <c r="FB14" s="186"/>
      <c r="FC14" s="186"/>
      <c r="FD14" s="186"/>
      <c r="FE14" s="186"/>
      <c r="FF14" s="186"/>
      <c r="FG14" s="186"/>
      <c r="FH14" s="186"/>
      <c r="FI14" s="186"/>
      <c r="FJ14" s="186"/>
      <c r="FK14" s="186"/>
      <c r="FL14" s="186"/>
      <c r="FM14" s="186"/>
      <c r="FN14" s="186"/>
      <c r="FO14" s="186"/>
      <c r="FP14" s="186"/>
      <c r="FQ14" s="186"/>
      <c r="FR14" s="186"/>
      <c r="FS14" s="186"/>
      <c r="FT14" s="186"/>
      <c r="FU14" s="186"/>
      <c r="FV14" s="186"/>
      <c r="FW14" s="186"/>
      <c r="FX14" s="186"/>
      <c r="FY14" s="186"/>
      <c r="FZ14" s="186"/>
      <c r="GA14" s="186"/>
      <c r="GB14" s="186"/>
      <c r="GC14" s="186"/>
      <c r="GD14" s="186"/>
      <c r="GE14" s="186"/>
      <c r="GF14" s="186"/>
      <c r="GG14" s="186"/>
      <c r="GH14" s="186"/>
      <c r="GI14" s="186"/>
      <c r="GJ14" s="186"/>
      <c r="GK14" s="186"/>
      <c r="GL14" s="186"/>
      <c r="GM14" s="186"/>
      <c r="GN14" s="186"/>
      <c r="GO14" s="186"/>
      <c r="GP14" s="186"/>
      <c r="GQ14" s="186"/>
      <c r="GR14" s="186"/>
      <c r="GS14" s="186"/>
      <c r="GT14" s="186"/>
      <c r="GU14" s="186"/>
      <c r="GV14" s="186"/>
      <c r="GW14" s="186"/>
      <c r="GX14" s="186"/>
      <c r="GY14" s="186"/>
      <c r="GZ14" s="186"/>
      <c r="HA14" s="186"/>
      <c r="HB14" s="186"/>
      <c r="HC14" s="186"/>
      <c r="HD14" s="186"/>
      <c r="HE14" s="186"/>
      <c r="HF14" s="186"/>
      <c r="HG14" s="186"/>
      <c r="HH14" s="186"/>
      <c r="HI14" s="186"/>
      <c r="HJ14" s="186"/>
      <c r="HK14" s="186"/>
      <c r="HL14" s="186"/>
      <c r="HM14" s="186"/>
      <c r="HN14" s="186"/>
      <c r="HO14" s="186"/>
      <c r="HP14" s="186"/>
      <c r="HQ14" s="186"/>
      <c r="HR14" s="187"/>
    </row>
    <row r="15" ht="54.75" customHeight="1">
      <c r="A15" s="207"/>
      <c r="B15" s="213"/>
      <c r="C15" s="213"/>
      <c r="D15" s="213"/>
      <c r="E15" s="213"/>
      <c r="F15" s="213"/>
      <c r="G15" s="186"/>
      <c r="H15" s="186"/>
      <c r="I15" s="190"/>
      <c r="J15" s="190"/>
      <c r="K15" s="190"/>
      <c r="L15" s="190"/>
      <c r="M15" s="190"/>
      <c r="N15" s="190"/>
      <c r="O15" s="190"/>
      <c r="P15" s="190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7"/>
    </row>
    <row r="16" ht="54.75" customHeight="1">
      <c r="A16" s="207"/>
      <c r="B16" t="s" s="220">
        <v>91</v>
      </c>
      <c r="C16" s="221"/>
      <c r="D16" s="221"/>
      <c r="E16" s="221"/>
      <c r="F16" s="232"/>
      <c r="G16" s="212"/>
      <c r="H16" s="186"/>
      <c r="I16" t="s" s="233">
        <v>92</v>
      </c>
      <c r="J16" s="234"/>
      <c r="K16" s="235"/>
      <c r="L16" t="s" s="233">
        <v>93</v>
      </c>
      <c r="M16" s="234"/>
      <c r="N16" s="235"/>
      <c r="O16" t="s" s="233">
        <v>94</v>
      </c>
      <c r="P16" s="234"/>
      <c r="Q16" s="186"/>
      <c r="R16" s="234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6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/>
      <c r="EB16" s="186"/>
      <c r="EC16" s="186"/>
      <c r="ED16" s="186"/>
      <c r="EE16" s="186"/>
      <c r="EF16" s="186"/>
      <c r="EG16" s="186"/>
      <c r="EH16" s="186"/>
      <c r="EI16" s="186"/>
      <c r="EJ16" s="186"/>
      <c r="EK16" s="186"/>
      <c r="EL16" s="186"/>
      <c r="EM16" s="186"/>
      <c r="EN16" s="186"/>
      <c r="EO16" s="186"/>
      <c r="EP16" s="186"/>
      <c r="EQ16" s="186"/>
      <c r="ER16" s="186"/>
      <c r="ES16" s="186"/>
      <c r="ET16" s="186"/>
      <c r="EU16" s="186"/>
      <c r="EV16" s="186"/>
      <c r="EW16" s="186"/>
      <c r="EX16" s="186"/>
      <c r="EY16" s="186"/>
      <c r="EZ16" s="186"/>
      <c r="FA16" s="186"/>
      <c r="FB16" s="186"/>
      <c r="FC16" s="186"/>
      <c r="FD16" s="186"/>
      <c r="FE16" s="186"/>
      <c r="FF16" s="186"/>
      <c r="FG16" s="186"/>
      <c r="FH16" s="186"/>
      <c r="FI16" s="186"/>
      <c r="FJ16" s="186"/>
      <c r="FK16" s="186"/>
      <c r="FL16" s="186"/>
      <c r="FM16" s="186"/>
      <c r="FN16" s="186"/>
      <c r="FO16" s="186"/>
      <c r="FP16" s="186"/>
      <c r="FQ16" s="186"/>
      <c r="FR16" s="186"/>
      <c r="FS16" s="186"/>
      <c r="FT16" s="186"/>
      <c r="FU16" s="186"/>
      <c r="FV16" s="186"/>
      <c r="FW16" s="186"/>
      <c r="FX16" s="186"/>
      <c r="FY16" s="186"/>
      <c r="FZ16" s="186"/>
      <c r="GA16" s="186"/>
      <c r="GB16" s="186"/>
      <c r="GC16" s="186"/>
      <c r="GD16" s="186"/>
      <c r="GE16" s="186"/>
      <c r="GF16" s="186"/>
      <c r="GG16" s="186"/>
      <c r="GH16" s="186"/>
      <c r="GI16" s="186"/>
      <c r="GJ16" s="186"/>
      <c r="GK16" s="186"/>
      <c r="GL16" s="186"/>
      <c r="GM16" s="186"/>
      <c r="GN16" s="186"/>
      <c r="GO16" s="186"/>
      <c r="GP16" s="186"/>
      <c r="GQ16" s="186"/>
      <c r="GR16" s="186"/>
      <c r="GS16" s="186"/>
      <c r="GT16" s="186"/>
      <c r="GU16" s="186"/>
      <c r="GV16" s="186"/>
      <c r="GW16" s="186"/>
      <c r="GX16" s="186"/>
      <c r="GY16" s="186"/>
      <c r="GZ16" s="186"/>
      <c r="HA16" s="186"/>
      <c r="HB16" s="186"/>
      <c r="HC16" s="186"/>
      <c r="HD16" s="186"/>
      <c r="HE16" s="186"/>
      <c r="HF16" s="186"/>
      <c r="HG16" s="186"/>
      <c r="HH16" s="186"/>
      <c r="HI16" s="186"/>
      <c r="HJ16" s="186"/>
      <c r="HK16" s="186"/>
      <c r="HL16" s="186"/>
      <c r="HM16" s="186"/>
      <c r="HN16" s="186"/>
      <c r="HO16" s="186"/>
      <c r="HP16" s="186"/>
      <c r="HQ16" s="186"/>
      <c r="HR16" s="187"/>
    </row>
    <row r="17" ht="54.75" customHeight="1">
      <c r="A17" s="207"/>
      <c r="B17" t="s" s="220">
        <v>95</v>
      </c>
      <c r="C17" s="221"/>
      <c r="D17" s="221"/>
      <c r="E17" s="221"/>
      <c r="F17" s="232"/>
      <c r="G17" s="212"/>
      <c r="H17" s="186"/>
      <c r="I17" t="s" s="233">
        <v>96</v>
      </c>
      <c r="J17" s="234"/>
      <c r="K17" s="234"/>
      <c r="L17" t="s" s="233">
        <v>97</v>
      </c>
      <c r="M17" s="234"/>
      <c r="N17" s="234"/>
      <c r="O17" t="s" s="233">
        <v>98</v>
      </c>
      <c r="P17" s="234"/>
      <c r="Q17" s="186"/>
      <c r="R17" s="234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  <c r="DM17" s="186"/>
      <c r="DN17" s="186"/>
      <c r="DO17" s="186"/>
      <c r="DP17" s="186"/>
      <c r="DQ17" s="186"/>
      <c r="DR17" s="186"/>
      <c r="DS17" s="186"/>
      <c r="DT17" s="186"/>
      <c r="DU17" s="186"/>
      <c r="DV17" s="186"/>
      <c r="DW17" s="186"/>
      <c r="DX17" s="186"/>
      <c r="DY17" s="186"/>
      <c r="DZ17" s="186"/>
      <c r="EA17" s="186"/>
      <c r="EB17" s="186"/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186"/>
      <c r="EU17" s="186"/>
      <c r="EV17" s="186"/>
      <c r="EW17" s="186"/>
      <c r="EX17" s="186"/>
      <c r="EY17" s="186"/>
      <c r="EZ17" s="186"/>
      <c r="FA17" s="186"/>
      <c r="FB17" s="186"/>
      <c r="FC17" s="186"/>
      <c r="FD17" s="186"/>
      <c r="FE17" s="186"/>
      <c r="FF17" s="186"/>
      <c r="FG17" s="186"/>
      <c r="FH17" s="186"/>
      <c r="FI17" s="186"/>
      <c r="FJ17" s="186"/>
      <c r="FK17" s="186"/>
      <c r="FL17" s="186"/>
      <c r="FM17" s="186"/>
      <c r="FN17" s="186"/>
      <c r="FO17" s="186"/>
      <c r="FP17" s="186"/>
      <c r="FQ17" s="186"/>
      <c r="FR17" s="186"/>
      <c r="FS17" s="186"/>
      <c r="FT17" s="186"/>
      <c r="FU17" s="186"/>
      <c r="FV17" s="186"/>
      <c r="FW17" s="186"/>
      <c r="FX17" s="186"/>
      <c r="FY17" s="186"/>
      <c r="FZ17" s="186"/>
      <c r="GA17" s="186"/>
      <c r="GB17" s="186"/>
      <c r="GC17" s="186"/>
      <c r="GD17" s="186"/>
      <c r="GE17" s="186"/>
      <c r="GF17" s="186"/>
      <c r="GG17" s="186"/>
      <c r="GH17" s="186"/>
      <c r="GI17" s="186"/>
      <c r="GJ17" s="186"/>
      <c r="GK17" s="186"/>
      <c r="GL17" s="186"/>
      <c r="GM17" s="186"/>
      <c r="GN17" s="186"/>
      <c r="GO17" s="186"/>
      <c r="GP17" s="186"/>
      <c r="GQ17" s="186"/>
      <c r="GR17" s="186"/>
      <c r="GS17" s="186"/>
      <c r="GT17" s="186"/>
      <c r="GU17" s="186"/>
      <c r="GV17" s="186"/>
      <c r="GW17" s="186"/>
      <c r="GX17" s="186"/>
      <c r="GY17" s="186"/>
      <c r="GZ17" s="186"/>
      <c r="HA17" s="186"/>
      <c r="HB17" s="186"/>
      <c r="HC17" s="186"/>
      <c r="HD17" s="186"/>
      <c r="HE17" s="186"/>
      <c r="HF17" s="186"/>
      <c r="HG17" s="186"/>
      <c r="HH17" s="186"/>
      <c r="HI17" s="186"/>
      <c r="HJ17" s="186"/>
      <c r="HK17" s="186"/>
      <c r="HL17" s="186"/>
      <c r="HM17" s="186"/>
      <c r="HN17" s="186"/>
      <c r="HO17" s="186"/>
      <c r="HP17" s="186"/>
      <c r="HQ17" s="186"/>
      <c r="HR17" s="187"/>
    </row>
    <row r="18" ht="54.75" customHeight="1">
      <c r="A18" s="207"/>
      <c r="B18" t="s" s="220">
        <v>99</v>
      </c>
      <c r="C18" s="221"/>
      <c r="D18" s="221"/>
      <c r="E18" s="221"/>
      <c r="F18" s="232"/>
      <c r="G18" s="186"/>
      <c r="H18" s="186"/>
      <c r="I18" t="s" s="214">
        <v>100</v>
      </c>
      <c r="J18" s="215"/>
      <c r="K18" s="236"/>
      <c r="L18" t="s" s="214">
        <v>101</v>
      </c>
      <c r="M18" s="215"/>
      <c r="N18" s="236"/>
      <c r="O18" t="s" s="214">
        <v>102</v>
      </c>
      <c r="P18" s="215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  <c r="DM18" s="186"/>
      <c r="DN18" s="186"/>
      <c r="DO18" s="186"/>
      <c r="DP18" s="186"/>
      <c r="DQ18" s="186"/>
      <c r="DR18" s="186"/>
      <c r="DS18" s="186"/>
      <c r="DT18" s="186"/>
      <c r="DU18" s="186"/>
      <c r="DV18" s="186"/>
      <c r="DW18" s="186"/>
      <c r="DX18" s="186"/>
      <c r="DY18" s="186"/>
      <c r="DZ18" s="186"/>
      <c r="EA18" s="186"/>
      <c r="EB18" s="186"/>
      <c r="EC18" s="186"/>
      <c r="ED18" s="186"/>
      <c r="EE18" s="186"/>
      <c r="EF18" s="186"/>
      <c r="EG18" s="186"/>
      <c r="EH18" s="186"/>
      <c r="EI18" s="186"/>
      <c r="EJ18" s="186"/>
      <c r="EK18" s="186"/>
      <c r="EL18" s="186"/>
      <c r="EM18" s="186"/>
      <c r="EN18" s="186"/>
      <c r="EO18" s="186"/>
      <c r="EP18" s="186"/>
      <c r="EQ18" s="186"/>
      <c r="ER18" s="186"/>
      <c r="ES18" s="186"/>
      <c r="ET18" s="186"/>
      <c r="EU18" s="186"/>
      <c r="EV18" s="186"/>
      <c r="EW18" s="186"/>
      <c r="EX18" s="186"/>
      <c r="EY18" s="186"/>
      <c r="EZ18" s="186"/>
      <c r="FA18" s="186"/>
      <c r="FB18" s="186"/>
      <c r="FC18" s="186"/>
      <c r="FD18" s="186"/>
      <c r="FE18" s="186"/>
      <c r="FF18" s="186"/>
      <c r="FG18" s="186"/>
      <c r="FH18" s="186"/>
      <c r="FI18" s="186"/>
      <c r="FJ18" s="186"/>
      <c r="FK18" s="186"/>
      <c r="FL18" s="186"/>
      <c r="FM18" s="186"/>
      <c r="FN18" s="186"/>
      <c r="FO18" s="186"/>
      <c r="FP18" s="186"/>
      <c r="FQ18" s="186"/>
      <c r="FR18" s="186"/>
      <c r="FS18" s="186"/>
      <c r="FT18" s="186"/>
      <c r="FU18" s="186"/>
      <c r="FV18" s="186"/>
      <c r="FW18" s="186"/>
      <c r="FX18" s="186"/>
      <c r="FY18" s="186"/>
      <c r="FZ18" s="186"/>
      <c r="GA18" s="186"/>
      <c r="GB18" s="186"/>
      <c r="GC18" s="186"/>
      <c r="GD18" s="186"/>
      <c r="GE18" s="186"/>
      <c r="GF18" s="186"/>
      <c r="GG18" s="186"/>
      <c r="GH18" s="186"/>
      <c r="GI18" s="186"/>
      <c r="GJ18" s="186"/>
      <c r="GK18" s="186"/>
      <c r="GL18" s="186"/>
      <c r="GM18" s="186"/>
      <c r="GN18" s="186"/>
      <c r="GO18" s="186"/>
      <c r="GP18" s="186"/>
      <c r="GQ18" s="186"/>
      <c r="GR18" s="186"/>
      <c r="GS18" s="186"/>
      <c r="GT18" s="186"/>
      <c r="GU18" s="186"/>
      <c r="GV18" s="186"/>
      <c r="GW18" s="186"/>
      <c r="GX18" s="186"/>
      <c r="GY18" s="186"/>
      <c r="GZ18" s="186"/>
      <c r="HA18" s="186"/>
      <c r="HB18" s="186"/>
      <c r="HC18" s="186"/>
      <c r="HD18" s="186"/>
      <c r="HE18" s="186"/>
      <c r="HF18" s="186"/>
      <c r="HG18" s="186"/>
      <c r="HH18" s="186"/>
      <c r="HI18" s="186"/>
      <c r="HJ18" s="186"/>
      <c r="HK18" s="186"/>
      <c r="HL18" s="186"/>
      <c r="HM18" s="186"/>
      <c r="HN18" s="186"/>
      <c r="HO18" s="186"/>
      <c r="HP18" s="186"/>
      <c r="HQ18" s="186"/>
      <c r="HR18" s="187"/>
    </row>
    <row r="19" ht="54.75" customHeight="1">
      <c r="A19" s="207"/>
      <c r="B19" t="s" s="220">
        <v>103</v>
      </c>
      <c r="C19" s="221"/>
      <c r="D19" s="221"/>
      <c r="E19" s="221"/>
      <c r="F19" s="237"/>
      <c r="G19" s="186"/>
      <c r="H19" s="186"/>
      <c r="I19" t="s" s="214">
        <v>104</v>
      </c>
      <c r="J19" s="215"/>
      <c r="K19" s="236"/>
      <c r="L19" t="s" s="214">
        <v>105</v>
      </c>
      <c r="M19" s="215"/>
      <c r="N19" s="236"/>
      <c r="O19" t="s" s="214">
        <v>106</v>
      </c>
      <c r="P19" s="215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  <c r="DM19" s="186"/>
      <c r="DN19" s="186"/>
      <c r="DO19" s="186"/>
      <c r="DP19" s="186"/>
      <c r="DQ19" s="186"/>
      <c r="DR19" s="186"/>
      <c r="DS19" s="186"/>
      <c r="DT19" s="186"/>
      <c r="DU19" s="186"/>
      <c r="DV19" s="186"/>
      <c r="DW19" s="186"/>
      <c r="DX19" s="186"/>
      <c r="DY19" s="186"/>
      <c r="DZ19" s="186"/>
      <c r="EA19" s="186"/>
      <c r="EB19" s="186"/>
      <c r="EC19" s="186"/>
      <c r="ED19" s="186"/>
      <c r="EE19" s="186"/>
      <c r="EF19" s="186"/>
      <c r="EG19" s="186"/>
      <c r="EH19" s="186"/>
      <c r="EI19" s="186"/>
      <c r="EJ19" s="186"/>
      <c r="EK19" s="186"/>
      <c r="EL19" s="186"/>
      <c r="EM19" s="186"/>
      <c r="EN19" s="186"/>
      <c r="EO19" s="186"/>
      <c r="EP19" s="186"/>
      <c r="EQ19" s="186"/>
      <c r="ER19" s="186"/>
      <c r="ES19" s="186"/>
      <c r="ET19" s="186"/>
      <c r="EU19" s="186"/>
      <c r="EV19" s="186"/>
      <c r="EW19" s="186"/>
      <c r="EX19" s="186"/>
      <c r="EY19" s="186"/>
      <c r="EZ19" s="186"/>
      <c r="FA19" s="186"/>
      <c r="FB19" s="186"/>
      <c r="FC19" s="186"/>
      <c r="FD19" s="186"/>
      <c r="FE19" s="186"/>
      <c r="FF19" s="186"/>
      <c r="FG19" s="186"/>
      <c r="FH19" s="186"/>
      <c r="FI19" s="186"/>
      <c r="FJ19" s="186"/>
      <c r="FK19" s="186"/>
      <c r="FL19" s="186"/>
      <c r="FM19" s="186"/>
      <c r="FN19" s="186"/>
      <c r="FO19" s="186"/>
      <c r="FP19" s="186"/>
      <c r="FQ19" s="186"/>
      <c r="FR19" s="186"/>
      <c r="FS19" s="186"/>
      <c r="FT19" s="186"/>
      <c r="FU19" s="186"/>
      <c r="FV19" s="186"/>
      <c r="FW19" s="186"/>
      <c r="FX19" s="186"/>
      <c r="FY19" s="186"/>
      <c r="FZ19" s="186"/>
      <c r="GA19" s="186"/>
      <c r="GB19" s="186"/>
      <c r="GC19" s="186"/>
      <c r="GD19" s="186"/>
      <c r="GE19" s="186"/>
      <c r="GF19" s="186"/>
      <c r="GG19" s="186"/>
      <c r="GH19" s="186"/>
      <c r="GI19" s="186"/>
      <c r="GJ19" s="186"/>
      <c r="GK19" s="186"/>
      <c r="GL19" s="186"/>
      <c r="GM19" s="186"/>
      <c r="GN19" s="186"/>
      <c r="GO19" s="186"/>
      <c r="GP19" s="186"/>
      <c r="GQ19" s="186"/>
      <c r="GR19" s="186"/>
      <c r="GS19" s="186"/>
      <c r="GT19" s="186"/>
      <c r="GU19" s="186"/>
      <c r="GV19" s="186"/>
      <c r="GW19" s="186"/>
      <c r="GX19" s="186"/>
      <c r="GY19" s="186"/>
      <c r="GZ19" s="186"/>
      <c r="HA19" s="186"/>
      <c r="HB19" s="186"/>
      <c r="HC19" s="186"/>
      <c r="HD19" s="186"/>
      <c r="HE19" s="186"/>
      <c r="HF19" s="186"/>
      <c r="HG19" s="186"/>
      <c r="HH19" s="186"/>
      <c r="HI19" s="186"/>
      <c r="HJ19" s="186"/>
      <c r="HK19" s="186"/>
      <c r="HL19" s="186"/>
      <c r="HM19" s="186"/>
      <c r="HN19" s="186"/>
      <c r="HO19" s="186"/>
      <c r="HP19" s="186"/>
      <c r="HQ19" s="186"/>
      <c r="HR19" s="187"/>
    </row>
    <row r="20" ht="54.75" customHeight="1">
      <c r="A20" s="207"/>
      <c r="B20" t="s" s="220">
        <v>107</v>
      </c>
      <c r="C20" s="221"/>
      <c r="D20" s="221"/>
      <c r="E20" s="221"/>
      <c r="F20" s="232"/>
      <c r="G20" s="186"/>
      <c r="H20" s="186"/>
      <c r="I20" t="s" s="214">
        <v>108</v>
      </c>
      <c r="J20" s="215"/>
      <c r="K20" s="236"/>
      <c r="L20" t="s" s="214">
        <v>109</v>
      </c>
      <c r="M20" s="215"/>
      <c r="N20" s="236"/>
      <c r="O20" t="s" s="214">
        <v>110</v>
      </c>
      <c r="P20" s="215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  <c r="DM20" s="186"/>
      <c r="DN20" s="186"/>
      <c r="DO20" s="186"/>
      <c r="DP20" s="186"/>
      <c r="DQ20" s="186"/>
      <c r="DR20" s="186"/>
      <c r="DS20" s="186"/>
      <c r="DT20" s="186"/>
      <c r="DU20" s="186"/>
      <c r="DV20" s="186"/>
      <c r="DW20" s="186"/>
      <c r="DX20" s="186"/>
      <c r="DY20" s="186"/>
      <c r="DZ20" s="186"/>
      <c r="EA20" s="186"/>
      <c r="EB20" s="186"/>
      <c r="EC20" s="186"/>
      <c r="ED20" s="186"/>
      <c r="EE20" s="186"/>
      <c r="EF20" s="186"/>
      <c r="EG20" s="186"/>
      <c r="EH20" s="186"/>
      <c r="EI20" s="186"/>
      <c r="EJ20" s="186"/>
      <c r="EK20" s="186"/>
      <c r="EL20" s="186"/>
      <c r="EM20" s="186"/>
      <c r="EN20" s="186"/>
      <c r="EO20" s="186"/>
      <c r="EP20" s="186"/>
      <c r="EQ20" s="186"/>
      <c r="ER20" s="186"/>
      <c r="ES20" s="186"/>
      <c r="ET20" s="186"/>
      <c r="EU20" s="186"/>
      <c r="EV20" s="186"/>
      <c r="EW20" s="186"/>
      <c r="EX20" s="186"/>
      <c r="EY20" s="186"/>
      <c r="EZ20" s="186"/>
      <c r="FA20" s="186"/>
      <c r="FB20" s="186"/>
      <c r="FC20" s="186"/>
      <c r="FD20" s="186"/>
      <c r="FE20" s="186"/>
      <c r="FF20" s="186"/>
      <c r="FG20" s="186"/>
      <c r="FH20" s="186"/>
      <c r="FI20" s="186"/>
      <c r="FJ20" s="186"/>
      <c r="FK20" s="186"/>
      <c r="FL20" s="186"/>
      <c r="FM20" s="186"/>
      <c r="FN20" s="186"/>
      <c r="FO20" s="186"/>
      <c r="FP20" s="186"/>
      <c r="FQ20" s="186"/>
      <c r="FR20" s="186"/>
      <c r="FS20" s="186"/>
      <c r="FT20" s="186"/>
      <c r="FU20" s="186"/>
      <c r="FV20" s="186"/>
      <c r="FW20" s="186"/>
      <c r="FX20" s="186"/>
      <c r="FY20" s="186"/>
      <c r="FZ20" s="186"/>
      <c r="GA20" s="186"/>
      <c r="GB20" s="186"/>
      <c r="GC20" s="186"/>
      <c r="GD20" s="186"/>
      <c r="GE20" s="186"/>
      <c r="GF20" s="186"/>
      <c r="GG20" s="186"/>
      <c r="GH20" s="186"/>
      <c r="GI20" s="186"/>
      <c r="GJ20" s="186"/>
      <c r="GK20" s="186"/>
      <c r="GL20" s="186"/>
      <c r="GM20" s="186"/>
      <c r="GN20" s="186"/>
      <c r="GO20" s="186"/>
      <c r="GP20" s="186"/>
      <c r="GQ20" s="186"/>
      <c r="GR20" s="186"/>
      <c r="GS20" s="186"/>
      <c r="GT20" s="186"/>
      <c r="GU20" s="186"/>
      <c r="GV20" s="186"/>
      <c r="GW20" s="186"/>
      <c r="GX20" s="186"/>
      <c r="GY20" s="186"/>
      <c r="GZ20" s="186"/>
      <c r="HA20" s="186"/>
      <c r="HB20" s="186"/>
      <c r="HC20" s="186"/>
      <c r="HD20" s="186"/>
      <c r="HE20" s="186"/>
      <c r="HF20" s="186"/>
      <c r="HG20" s="186"/>
      <c r="HH20" s="186"/>
      <c r="HI20" s="186"/>
      <c r="HJ20" s="186"/>
      <c r="HK20" s="186"/>
      <c r="HL20" s="186"/>
      <c r="HM20" s="186"/>
      <c r="HN20" s="186"/>
      <c r="HO20" s="186"/>
      <c r="HP20" s="186"/>
      <c r="HQ20" s="186"/>
      <c r="HR20" s="187"/>
    </row>
    <row r="21" ht="54.75" customHeight="1">
      <c r="A21" s="207"/>
      <c r="B21" s="186"/>
      <c r="C21" s="186"/>
      <c r="D21" s="186"/>
      <c r="E21" s="186"/>
      <c r="F21" s="186"/>
      <c r="G21" s="186"/>
      <c r="H21" s="186"/>
      <c r="I21" t="s" s="214">
        <v>111</v>
      </c>
      <c r="J21" s="215"/>
      <c r="K21" s="236"/>
      <c r="L21" t="s" s="214">
        <v>112</v>
      </c>
      <c r="M21" s="215"/>
      <c r="N21" s="236"/>
      <c r="O21" t="s" s="214">
        <v>113</v>
      </c>
      <c r="P21" s="215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  <c r="EY21" s="186"/>
      <c r="EZ21" s="186"/>
      <c r="FA21" s="186"/>
      <c r="FB21" s="186"/>
      <c r="FC21" s="186"/>
      <c r="FD21" s="186"/>
      <c r="FE21" s="186"/>
      <c r="FF21" s="186"/>
      <c r="FG21" s="186"/>
      <c r="FH21" s="186"/>
      <c r="FI21" s="186"/>
      <c r="FJ21" s="186"/>
      <c r="FK21" s="186"/>
      <c r="FL21" s="186"/>
      <c r="FM21" s="186"/>
      <c r="FN21" s="186"/>
      <c r="FO21" s="186"/>
      <c r="FP21" s="186"/>
      <c r="FQ21" s="186"/>
      <c r="FR21" s="186"/>
      <c r="FS21" s="186"/>
      <c r="FT21" s="186"/>
      <c r="FU21" s="186"/>
      <c r="FV21" s="186"/>
      <c r="FW21" s="186"/>
      <c r="FX21" s="186"/>
      <c r="FY21" s="186"/>
      <c r="FZ21" s="186"/>
      <c r="GA21" s="186"/>
      <c r="GB21" s="186"/>
      <c r="GC21" s="186"/>
      <c r="GD21" s="186"/>
      <c r="GE21" s="186"/>
      <c r="GF21" s="186"/>
      <c r="GG21" s="186"/>
      <c r="GH21" s="186"/>
      <c r="GI21" s="186"/>
      <c r="GJ21" s="186"/>
      <c r="GK21" s="186"/>
      <c r="GL21" s="186"/>
      <c r="GM21" s="186"/>
      <c r="GN21" s="186"/>
      <c r="GO21" s="186"/>
      <c r="GP21" s="186"/>
      <c r="GQ21" s="186"/>
      <c r="GR21" s="186"/>
      <c r="GS21" s="186"/>
      <c r="GT21" s="186"/>
      <c r="GU21" s="186"/>
      <c r="GV21" s="186"/>
      <c r="GW21" s="186"/>
      <c r="GX21" s="186"/>
      <c r="GY21" s="186"/>
      <c r="GZ21" s="186"/>
      <c r="HA21" s="186"/>
      <c r="HB21" s="186"/>
      <c r="HC21" s="186"/>
      <c r="HD21" s="186"/>
      <c r="HE21" s="186"/>
      <c r="HF21" s="186"/>
      <c r="HG21" s="186"/>
      <c r="HH21" s="186"/>
      <c r="HI21" s="186"/>
      <c r="HJ21" s="186"/>
      <c r="HK21" s="186"/>
      <c r="HL21" s="186"/>
      <c r="HM21" s="186"/>
      <c r="HN21" s="186"/>
      <c r="HO21" s="186"/>
      <c r="HP21" s="186"/>
      <c r="HQ21" s="186"/>
      <c r="HR21" s="187"/>
    </row>
    <row r="22" ht="54.75" customHeight="1">
      <c r="A22" s="207"/>
      <c r="B22" s="186"/>
      <c r="C22" s="186"/>
      <c r="D22" s="186"/>
      <c r="E22" s="186"/>
      <c r="F22" s="186"/>
      <c r="G22" s="186"/>
      <c r="H22" s="186"/>
      <c r="I22" t="s" s="214">
        <v>114</v>
      </c>
      <c r="J22" s="215"/>
      <c r="K22" s="236"/>
      <c r="L22" t="s" s="214">
        <v>115</v>
      </c>
      <c r="M22" s="215"/>
      <c r="N22" s="238"/>
      <c r="O22" t="s" s="214">
        <v>116</v>
      </c>
      <c r="P22" s="215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  <c r="DM22" s="186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186"/>
      <c r="EU22" s="186"/>
      <c r="EV22" s="186"/>
      <c r="EW22" s="186"/>
      <c r="EX22" s="186"/>
      <c r="EY22" s="186"/>
      <c r="EZ22" s="186"/>
      <c r="FA22" s="186"/>
      <c r="FB22" s="186"/>
      <c r="FC22" s="186"/>
      <c r="FD22" s="186"/>
      <c r="FE22" s="186"/>
      <c r="FF22" s="186"/>
      <c r="FG22" s="186"/>
      <c r="FH22" s="186"/>
      <c r="FI22" s="186"/>
      <c r="FJ22" s="186"/>
      <c r="FK22" s="186"/>
      <c r="FL22" s="186"/>
      <c r="FM22" s="186"/>
      <c r="FN22" s="186"/>
      <c r="FO22" s="186"/>
      <c r="FP22" s="186"/>
      <c r="FQ22" s="186"/>
      <c r="FR22" s="186"/>
      <c r="FS22" s="186"/>
      <c r="FT22" s="186"/>
      <c r="FU22" s="186"/>
      <c r="FV22" s="186"/>
      <c r="FW22" s="186"/>
      <c r="FX22" s="186"/>
      <c r="FY22" s="186"/>
      <c r="FZ22" s="186"/>
      <c r="GA22" s="186"/>
      <c r="GB22" s="186"/>
      <c r="GC22" s="186"/>
      <c r="GD22" s="186"/>
      <c r="GE22" s="186"/>
      <c r="GF22" s="186"/>
      <c r="GG22" s="186"/>
      <c r="GH22" s="186"/>
      <c r="GI22" s="186"/>
      <c r="GJ22" s="186"/>
      <c r="GK22" s="186"/>
      <c r="GL22" s="186"/>
      <c r="GM22" s="186"/>
      <c r="GN22" s="186"/>
      <c r="GO22" s="186"/>
      <c r="GP22" s="186"/>
      <c r="GQ22" s="186"/>
      <c r="GR22" s="186"/>
      <c r="GS22" s="186"/>
      <c r="GT22" s="186"/>
      <c r="GU22" s="186"/>
      <c r="GV22" s="186"/>
      <c r="GW22" s="186"/>
      <c r="GX22" s="186"/>
      <c r="GY22" s="186"/>
      <c r="GZ22" s="186"/>
      <c r="HA22" s="186"/>
      <c r="HB22" s="186"/>
      <c r="HC22" s="186"/>
      <c r="HD22" s="186"/>
      <c r="HE22" s="186"/>
      <c r="HF22" s="186"/>
      <c r="HG22" s="186"/>
      <c r="HH22" s="186"/>
      <c r="HI22" s="186"/>
      <c r="HJ22" s="186"/>
      <c r="HK22" s="186"/>
      <c r="HL22" s="186"/>
      <c r="HM22" s="186"/>
      <c r="HN22" s="186"/>
      <c r="HO22" s="186"/>
      <c r="HP22" s="186"/>
      <c r="HQ22" s="186"/>
      <c r="HR22" s="187"/>
    </row>
    <row r="23" ht="54.75" customHeight="1">
      <c r="A23" s="207"/>
      <c r="B23" s="186"/>
      <c r="C23" s="186"/>
      <c r="D23" s="186"/>
      <c r="E23" s="186"/>
      <c r="F23" s="186"/>
      <c r="G23" s="186"/>
      <c r="H23" s="186"/>
      <c r="I23" s="186"/>
      <c r="J23" s="186"/>
      <c r="K23" s="236"/>
      <c r="L23" t="s" s="214">
        <v>117</v>
      </c>
      <c r="M23" s="215"/>
      <c r="N23" s="236"/>
      <c r="O23" t="s" s="214">
        <v>118</v>
      </c>
      <c r="P23" s="215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  <c r="DM23" s="186"/>
      <c r="DN23" s="186"/>
      <c r="DO23" s="186"/>
      <c r="DP23" s="186"/>
      <c r="DQ23" s="186"/>
      <c r="DR23" s="186"/>
      <c r="DS23" s="186"/>
      <c r="DT23" s="186"/>
      <c r="DU23" s="186"/>
      <c r="DV23" s="186"/>
      <c r="DW23" s="186"/>
      <c r="DX23" s="186"/>
      <c r="DY23" s="186"/>
      <c r="DZ23" s="186"/>
      <c r="EA23" s="186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  <c r="EY23" s="186"/>
      <c r="EZ23" s="186"/>
      <c r="FA23" s="186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  <c r="GR23" s="186"/>
      <c r="GS23" s="186"/>
      <c r="GT23" s="186"/>
      <c r="GU23" s="186"/>
      <c r="GV23" s="186"/>
      <c r="GW23" s="186"/>
      <c r="GX23" s="186"/>
      <c r="GY23" s="186"/>
      <c r="GZ23" s="186"/>
      <c r="HA23" s="186"/>
      <c r="HB23" s="186"/>
      <c r="HC23" s="186"/>
      <c r="HD23" s="186"/>
      <c r="HE23" s="186"/>
      <c r="HF23" s="186"/>
      <c r="HG23" s="186"/>
      <c r="HH23" s="186"/>
      <c r="HI23" s="186"/>
      <c r="HJ23" s="186"/>
      <c r="HK23" s="186"/>
      <c r="HL23" s="186"/>
      <c r="HM23" s="186"/>
      <c r="HN23" s="186"/>
      <c r="HO23" s="186"/>
      <c r="HP23" s="186"/>
      <c r="HQ23" s="186"/>
      <c r="HR23" s="187"/>
    </row>
    <row r="24" ht="54.75" customHeight="1">
      <c r="A24" s="207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t="s" s="214">
        <v>119</v>
      </c>
      <c r="M24" s="215"/>
      <c r="N24" s="236"/>
      <c r="O24" s="23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  <c r="EY24" s="186"/>
      <c r="EZ24" s="186"/>
      <c r="FA24" s="186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6"/>
      <c r="FM24" s="186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/>
      <c r="GE24" s="186"/>
      <c r="GF24" s="186"/>
      <c r="GG24" s="186"/>
      <c r="GH24" s="186"/>
      <c r="GI24" s="186"/>
      <c r="GJ24" s="186"/>
      <c r="GK24" s="186"/>
      <c r="GL24" s="186"/>
      <c r="GM24" s="186"/>
      <c r="GN24" s="186"/>
      <c r="GO24" s="186"/>
      <c r="GP24" s="186"/>
      <c r="GQ24" s="186"/>
      <c r="GR24" s="186"/>
      <c r="GS24" s="186"/>
      <c r="GT24" s="186"/>
      <c r="GU24" s="186"/>
      <c r="GV24" s="186"/>
      <c r="GW24" s="186"/>
      <c r="GX24" s="186"/>
      <c r="GY24" s="186"/>
      <c r="GZ24" s="186"/>
      <c r="HA24" s="186"/>
      <c r="HB24" s="186"/>
      <c r="HC24" s="186"/>
      <c r="HD24" s="186"/>
      <c r="HE24" s="186"/>
      <c r="HF24" s="186"/>
      <c r="HG24" s="186"/>
      <c r="HH24" s="186"/>
      <c r="HI24" s="186"/>
      <c r="HJ24" s="186"/>
      <c r="HK24" s="186"/>
      <c r="HL24" s="186"/>
      <c r="HM24" s="186"/>
      <c r="HN24" s="186"/>
      <c r="HO24" s="186"/>
      <c r="HP24" s="186"/>
      <c r="HQ24" s="186"/>
      <c r="HR24" s="187"/>
    </row>
    <row r="25" ht="54.75" customHeight="1">
      <c r="A25" s="207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239"/>
      <c r="N25" s="239"/>
      <c r="O25" s="239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/>
      <c r="DT25" s="186"/>
      <c r="DU25" s="186"/>
      <c r="DV25" s="186"/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  <c r="EY25" s="186"/>
      <c r="EZ25" s="186"/>
      <c r="FA25" s="186"/>
      <c r="FB25" s="186"/>
      <c r="FC25" s="186"/>
      <c r="FD25" s="186"/>
      <c r="FE25" s="186"/>
      <c r="FF25" s="186"/>
      <c r="FG25" s="186"/>
      <c r="FH25" s="186"/>
      <c r="FI25" s="186"/>
      <c r="FJ25" s="186"/>
      <c r="FK25" s="186"/>
      <c r="FL25" s="186"/>
      <c r="FM25" s="186"/>
      <c r="FN25" s="186"/>
      <c r="FO25" s="186"/>
      <c r="FP25" s="186"/>
      <c r="FQ25" s="186"/>
      <c r="FR25" s="186"/>
      <c r="FS25" s="186"/>
      <c r="FT25" s="186"/>
      <c r="FU25" s="186"/>
      <c r="FV25" s="186"/>
      <c r="FW25" s="186"/>
      <c r="FX25" s="186"/>
      <c r="FY25" s="186"/>
      <c r="FZ25" s="186"/>
      <c r="GA25" s="186"/>
      <c r="GB25" s="186"/>
      <c r="GC25" s="186"/>
      <c r="GD25" s="186"/>
      <c r="GE25" s="186"/>
      <c r="GF25" s="186"/>
      <c r="GG25" s="186"/>
      <c r="GH25" s="186"/>
      <c r="GI25" s="186"/>
      <c r="GJ25" s="186"/>
      <c r="GK25" s="186"/>
      <c r="GL25" s="186"/>
      <c r="GM25" s="186"/>
      <c r="GN25" s="186"/>
      <c r="GO25" s="186"/>
      <c r="GP25" s="186"/>
      <c r="GQ25" s="186"/>
      <c r="GR25" s="186"/>
      <c r="GS25" s="186"/>
      <c r="GT25" s="186"/>
      <c r="GU25" s="186"/>
      <c r="GV25" s="186"/>
      <c r="GW25" s="186"/>
      <c r="GX25" s="186"/>
      <c r="GY25" s="186"/>
      <c r="GZ25" s="186"/>
      <c r="HA25" s="186"/>
      <c r="HB25" s="186"/>
      <c r="HC25" s="186"/>
      <c r="HD25" s="186"/>
      <c r="HE25" s="186"/>
      <c r="HF25" s="186"/>
      <c r="HG25" s="186"/>
      <c r="HH25" s="186"/>
      <c r="HI25" s="186"/>
      <c r="HJ25" s="186"/>
      <c r="HK25" s="186"/>
      <c r="HL25" s="186"/>
      <c r="HM25" s="186"/>
      <c r="HN25" s="186"/>
      <c r="HO25" s="186"/>
      <c r="HP25" s="186"/>
      <c r="HQ25" s="186"/>
      <c r="HR25" s="187"/>
    </row>
    <row r="26" ht="54.75" customHeight="1">
      <c r="A26" s="207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  <c r="DM26" s="186"/>
      <c r="DN26" s="186"/>
      <c r="DO26" s="186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186"/>
      <c r="FI26" s="186"/>
      <c r="FJ26" s="186"/>
      <c r="FK26" s="186"/>
      <c r="FL26" s="186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86"/>
      <c r="GA26" s="186"/>
      <c r="GB26" s="186"/>
      <c r="GC26" s="186"/>
      <c r="GD26" s="186"/>
      <c r="GE26" s="186"/>
      <c r="GF26" s="186"/>
      <c r="GG26" s="186"/>
      <c r="GH26" s="186"/>
      <c r="GI26" s="186"/>
      <c r="GJ26" s="186"/>
      <c r="GK26" s="186"/>
      <c r="GL26" s="186"/>
      <c r="GM26" s="186"/>
      <c r="GN26" s="186"/>
      <c r="GO26" s="186"/>
      <c r="GP26" s="186"/>
      <c r="GQ26" s="186"/>
      <c r="GR26" s="186"/>
      <c r="GS26" s="186"/>
      <c r="GT26" s="186"/>
      <c r="GU26" s="186"/>
      <c r="GV26" s="186"/>
      <c r="GW26" s="186"/>
      <c r="GX26" s="186"/>
      <c r="GY26" s="186"/>
      <c r="GZ26" s="186"/>
      <c r="HA26" s="186"/>
      <c r="HB26" s="186"/>
      <c r="HC26" s="186"/>
      <c r="HD26" s="186"/>
      <c r="HE26" s="186"/>
      <c r="HF26" s="186"/>
      <c r="HG26" s="186"/>
      <c r="HH26" s="186"/>
      <c r="HI26" s="186"/>
      <c r="HJ26" s="186"/>
      <c r="HK26" s="186"/>
      <c r="HL26" s="186"/>
      <c r="HM26" s="186"/>
      <c r="HN26" s="186"/>
      <c r="HO26" s="186"/>
      <c r="HP26" s="186"/>
      <c r="HQ26" s="186"/>
      <c r="HR26" s="187"/>
    </row>
    <row r="27" ht="54.75" customHeight="1">
      <c r="A27" s="240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7"/>
    </row>
    <row r="28" ht="54.75" customHeight="1">
      <c r="A28" t="s" s="241">
        <v>120</v>
      </c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3"/>
      <c r="Q28" s="244"/>
      <c r="R28" s="245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7"/>
    </row>
    <row r="29" ht="24.75" customHeight="1">
      <c r="A29" t="s" s="246">
        <v>121</v>
      </c>
      <c r="B29" s="247"/>
      <c r="C29" s="248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50"/>
      <c r="R29" s="250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7"/>
    </row>
    <row r="30" ht="21" customHeight="1">
      <c r="A30" t="s" s="251">
        <v>122</v>
      </c>
      <c r="B30" s="252"/>
      <c r="C30" s="253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0"/>
      <c r="R30" s="250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  <c r="DM30" s="186"/>
      <c r="DN30" s="186"/>
      <c r="DO30" s="186"/>
      <c r="DP30" s="186"/>
      <c r="DQ30" s="186"/>
      <c r="DR30" s="186"/>
      <c r="DS30" s="186"/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  <c r="EY30" s="186"/>
      <c r="EZ30" s="186"/>
      <c r="FA30" s="186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  <c r="GR30" s="186"/>
      <c r="GS30" s="186"/>
      <c r="GT30" s="186"/>
      <c r="GU30" s="186"/>
      <c r="GV30" s="186"/>
      <c r="GW30" s="186"/>
      <c r="GX30" s="186"/>
      <c r="GY30" s="186"/>
      <c r="GZ30" s="186"/>
      <c r="HA30" s="186"/>
      <c r="HB30" s="186"/>
      <c r="HC30" s="186"/>
      <c r="HD30" s="186"/>
      <c r="HE30" s="186"/>
      <c r="HF30" s="186"/>
      <c r="HG30" s="186"/>
      <c r="HH30" s="186"/>
      <c r="HI30" s="186"/>
      <c r="HJ30" s="186"/>
      <c r="HK30" s="186"/>
      <c r="HL30" s="186"/>
      <c r="HM30" s="186"/>
      <c r="HN30" s="186"/>
      <c r="HO30" s="186"/>
      <c r="HP30" s="186"/>
      <c r="HQ30" s="186"/>
      <c r="HR30" s="187"/>
    </row>
    <row r="31" ht="24" customHeight="1">
      <c r="A31" t="s" s="251">
        <v>123</v>
      </c>
      <c r="B31" s="252"/>
      <c r="C31" s="253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0"/>
      <c r="R31" s="250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  <c r="DM31" s="186"/>
      <c r="DN31" s="186"/>
      <c r="DO31" s="186"/>
      <c r="DP31" s="186"/>
      <c r="DQ31" s="186"/>
      <c r="DR31" s="186"/>
      <c r="DS31" s="186"/>
      <c r="DT31" s="186"/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  <c r="EY31" s="186"/>
      <c r="EZ31" s="186"/>
      <c r="FA31" s="186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  <c r="GR31" s="186"/>
      <c r="GS31" s="186"/>
      <c r="GT31" s="186"/>
      <c r="GU31" s="186"/>
      <c r="GV31" s="186"/>
      <c r="GW31" s="186"/>
      <c r="GX31" s="186"/>
      <c r="GY31" s="186"/>
      <c r="GZ31" s="186"/>
      <c r="HA31" s="186"/>
      <c r="HB31" s="186"/>
      <c r="HC31" s="186"/>
      <c r="HD31" s="186"/>
      <c r="HE31" s="186"/>
      <c r="HF31" s="186"/>
      <c r="HG31" s="186"/>
      <c r="HH31" s="186"/>
      <c r="HI31" s="186"/>
      <c r="HJ31" s="186"/>
      <c r="HK31" s="186"/>
      <c r="HL31" s="186"/>
      <c r="HM31" s="186"/>
      <c r="HN31" s="186"/>
      <c r="HO31" s="186"/>
      <c r="HP31" s="186"/>
      <c r="HQ31" s="186"/>
      <c r="HR31" s="187"/>
    </row>
    <row r="32" ht="22.5" customHeight="1">
      <c r="A32" t="s" s="251">
        <v>124</v>
      </c>
      <c r="B32" s="252"/>
      <c r="C32" s="253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0"/>
      <c r="R32" s="250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  <c r="DM32" s="186"/>
      <c r="DN32" s="186"/>
      <c r="DO32" s="186"/>
      <c r="DP32" s="186"/>
      <c r="DQ32" s="186"/>
      <c r="DR32" s="186"/>
      <c r="DS32" s="186"/>
      <c r="DT32" s="186"/>
      <c r="DU32" s="186"/>
      <c r="DV32" s="186"/>
      <c r="DW32" s="186"/>
      <c r="DX32" s="186"/>
      <c r="DY32" s="186"/>
      <c r="DZ32" s="186"/>
      <c r="EA32" s="186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6"/>
      <c r="EO32" s="186"/>
      <c r="EP32" s="186"/>
      <c r="EQ32" s="186"/>
      <c r="ER32" s="186"/>
      <c r="ES32" s="186"/>
      <c r="ET32" s="186"/>
      <c r="EU32" s="186"/>
      <c r="EV32" s="186"/>
      <c r="EW32" s="186"/>
      <c r="EX32" s="186"/>
      <c r="EY32" s="186"/>
      <c r="EZ32" s="186"/>
      <c r="FA32" s="186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  <c r="GR32" s="186"/>
      <c r="GS32" s="186"/>
      <c r="GT32" s="186"/>
      <c r="GU32" s="186"/>
      <c r="GV32" s="186"/>
      <c r="GW32" s="186"/>
      <c r="GX32" s="186"/>
      <c r="GY32" s="186"/>
      <c r="GZ32" s="186"/>
      <c r="HA32" s="186"/>
      <c r="HB32" s="186"/>
      <c r="HC32" s="186"/>
      <c r="HD32" s="186"/>
      <c r="HE32" s="186"/>
      <c r="HF32" s="186"/>
      <c r="HG32" s="186"/>
      <c r="HH32" s="186"/>
      <c r="HI32" s="186"/>
      <c r="HJ32" s="186"/>
      <c r="HK32" s="186"/>
      <c r="HL32" s="186"/>
      <c r="HM32" s="186"/>
      <c r="HN32" s="186"/>
      <c r="HO32" s="186"/>
      <c r="HP32" s="186"/>
      <c r="HQ32" s="186"/>
      <c r="HR32" s="187"/>
    </row>
    <row r="33" ht="21" customHeight="1">
      <c r="A33" t="s" s="255">
        <v>125</v>
      </c>
      <c r="B33" s="256"/>
      <c r="C33" s="257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0"/>
      <c r="R33" s="250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  <c r="DM33" s="186"/>
      <c r="DN33" s="186"/>
      <c r="DO33" s="186"/>
      <c r="DP33" s="186"/>
      <c r="DQ33" s="186"/>
      <c r="DR33" s="186"/>
      <c r="DS33" s="186"/>
      <c r="DT33" s="186"/>
      <c r="DU33" s="186"/>
      <c r="DV33" s="186"/>
      <c r="DW33" s="186"/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  <c r="EY33" s="186"/>
      <c r="EZ33" s="186"/>
      <c r="FA33" s="186"/>
      <c r="FB33" s="186"/>
      <c r="FC33" s="186"/>
      <c r="FD33" s="186"/>
      <c r="FE33" s="186"/>
      <c r="FF33" s="186"/>
      <c r="FG33" s="186"/>
      <c r="FH33" s="186"/>
      <c r="FI33" s="186"/>
      <c r="FJ33" s="186"/>
      <c r="FK33" s="186"/>
      <c r="FL33" s="186"/>
      <c r="FM33" s="186"/>
      <c r="FN33" s="186"/>
      <c r="FO33" s="186"/>
      <c r="FP33" s="186"/>
      <c r="FQ33" s="186"/>
      <c r="FR33" s="186"/>
      <c r="FS33" s="186"/>
      <c r="FT33" s="186"/>
      <c r="FU33" s="186"/>
      <c r="FV33" s="186"/>
      <c r="FW33" s="186"/>
      <c r="FX33" s="186"/>
      <c r="FY33" s="186"/>
      <c r="FZ33" s="186"/>
      <c r="GA33" s="186"/>
      <c r="GB33" s="186"/>
      <c r="GC33" s="186"/>
      <c r="GD33" s="186"/>
      <c r="GE33" s="186"/>
      <c r="GF33" s="186"/>
      <c r="GG33" s="186"/>
      <c r="GH33" s="186"/>
      <c r="GI33" s="186"/>
      <c r="GJ33" s="186"/>
      <c r="GK33" s="186"/>
      <c r="GL33" s="186"/>
      <c r="GM33" s="186"/>
      <c r="GN33" s="186"/>
      <c r="GO33" s="186"/>
      <c r="GP33" s="186"/>
      <c r="GQ33" s="186"/>
      <c r="GR33" s="186"/>
      <c r="GS33" s="186"/>
      <c r="GT33" s="186"/>
      <c r="GU33" s="186"/>
      <c r="GV33" s="186"/>
      <c r="GW33" s="186"/>
      <c r="GX33" s="186"/>
      <c r="GY33" s="186"/>
      <c r="GZ33" s="186"/>
      <c r="HA33" s="186"/>
      <c r="HB33" s="186"/>
      <c r="HC33" s="186"/>
      <c r="HD33" s="186"/>
      <c r="HE33" s="186"/>
      <c r="HF33" s="186"/>
      <c r="HG33" s="186"/>
      <c r="HH33" s="186"/>
      <c r="HI33" s="186"/>
      <c r="HJ33" s="186"/>
      <c r="HK33" s="186"/>
      <c r="HL33" s="186"/>
      <c r="HM33" s="186"/>
      <c r="HN33" s="186"/>
      <c r="HO33" s="186"/>
      <c r="HP33" s="186"/>
      <c r="HQ33" s="186"/>
      <c r="HR33" s="187"/>
    </row>
    <row r="34" ht="54.75" customHeight="1">
      <c r="A34" t="s" s="241">
        <v>126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3"/>
      <c r="Q34" s="244"/>
      <c r="R34" s="245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  <c r="DM34" s="186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/>
      <c r="EV34" s="186"/>
      <c r="EW34" s="186"/>
      <c r="EX34" s="186"/>
      <c r="EY34" s="186"/>
      <c r="EZ34" s="186"/>
      <c r="FA34" s="186"/>
      <c r="FB34" s="186"/>
      <c r="FC34" s="186"/>
      <c r="FD34" s="186"/>
      <c r="FE34" s="186"/>
      <c r="FF34" s="186"/>
      <c r="FG34" s="186"/>
      <c r="FH34" s="186"/>
      <c r="FI34" s="186"/>
      <c r="FJ34" s="186"/>
      <c r="FK34" s="186"/>
      <c r="FL34" s="186"/>
      <c r="FM34" s="186"/>
      <c r="FN34" s="186"/>
      <c r="FO34" s="186"/>
      <c r="FP34" s="186"/>
      <c r="FQ34" s="186"/>
      <c r="FR34" s="186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7"/>
    </row>
    <row r="35" ht="54.75" customHeight="1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1"/>
      <c r="Q35" s="262"/>
      <c r="R35" s="263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  <c r="DM35" s="186"/>
      <c r="DN35" s="186"/>
      <c r="DO35" s="186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/>
      <c r="EW35" s="186"/>
      <c r="EX35" s="186"/>
      <c r="EY35" s="186"/>
      <c r="EZ35" s="186"/>
      <c r="FA35" s="186"/>
      <c r="FB35" s="186"/>
      <c r="FC35" s="186"/>
      <c r="FD35" s="186"/>
      <c r="FE35" s="186"/>
      <c r="FF35" s="186"/>
      <c r="FG35" s="186"/>
      <c r="FH35" s="186"/>
      <c r="FI35" s="186"/>
      <c r="FJ35" s="186"/>
      <c r="FK35" s="186"/>
      <c r="FL35" s="186"/>
      <c r="FM35" s="186"/>
      <c r="FN35" s="186"/>
      <c r="FO35" s="186"/>
      <c r="FP35" s="186"/>
      <c r="FQ35" s="186"/>
      <c r="FR35" s="186"/>
      <c r="FS35" s="186"/>
      <c r="FT35" s="186"/>
      <c r="FU35" s="186"/>
      <c r="FV35" s="186"/>
      <c r="FW35" s="186"/>
      <c r="FX35" s="186"/>
      <c r="FY35" s="186"/>
      <c r="FZ35" s="186"/>
      <c r="GA35" s="186"/>
      <c r="GB35" s="186"/>
      <c r="GC35" s="186"/>
      <c r="GD35" s="186"/>
      <c r="GE35" s="186"/>
      <c r="GF35" s="186"/>
      <c r="GG35" s="186"/>
      <c r="GH35" s="186"/>
      <c r="GI35" s="186"/>
      <c r="GJ35" s="186"/>
      <c r="GK35" s="186"/>
      <c r="GL35" s="186"/>
      <c r="GM35" s="186"/>
      <c r="GN35" s="186"/>
      <c r="GO35" s="186"/>
      <c r="GP35" s="186"/>
      <c r="GQ35" s="186"/>
      <c r="GR35" s="186"/>
      <c r="GS35" s="186"/>
      <c r="GT35" s="186"/>
      <c r="GU35" s="186"/>
      <c r="GV35" s="186"/>
      <c r="GW35" s="186"/>
      <c r="GX35" s="186"/>
      <c r="GY35" s="186"/>
      <c r="GZ35" s="186"/>
      <c r="HA35" s="186"/>
      <c r="HB35" s="186"/>
      <c r="HC35" s="186"/>
      <c r="HD35" s="186"/>
      <c r="HE35" s="186"/>
      <c r="HF35" s="186"/>
      <c r="HG35" s="186"/>
      <c r="HH35" s="186"/>
      <c r="HI35" s="186"/>
      <c r="HJ35" s="186"/>
      <c r="HK35" s="186"/>
      <c r="HL35" s="186"/>
      <c r="HM35" s="186"/>
      <c r="HN35" s="186"/>
      <c r="HO35" s="186"/>
      <c r="HP35" s="186"/>
      <c r="HQ35" s="186"/>
      <c r="HR35" s="187"/>
    </row>
    <row r="36" ht="54.75" customHeight="1">
      <c r="A36" s="264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6"/>
      <c r="Q36" s="273"/>
      <c r="R36" s="274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268"/>
      <c r="CO36" s="268"/>
      <c r="CP36" s="268"/>
      <c r="CQ36" s="268"/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  <c r="DM36" s="268"/>
      <c r="DN36" s="268"/>
      <c r="DO36" s="268"/>
      <c r="DP36" s="268"/>
      <c r="DQ36" s="268"/>
      <c r="DR36" s="268"/>
      <c r="DS36" s="268"/>
      <c r="DT36" s="268"/>
      <c r="DU36" s="268"/>
      <c r="DV36" s="268"/>
      <c r="DW36" s="268"/>
      <c r="DX36" s="268"/>
      <c r="DY36" s="268"/>
      <c r="DZ36" s="268"/>
      <c r="EA36" s="268"/>
      <c r="EB36" s="268"/>
      <c r="EC36" s="268"/>
      <c r="ED36" s="268"/>
      <c r="EE36" s="268"/>
      <c r="EF36" s="268"/>
      <c r="EG36" s="268"/>
      <c r="EH36" s="268"/>
      <c r="EI36" s="268"/>
      <c r="EJ36" s="268"/>
      <c r="EK36" s="268"/>
      <c r="EL36" s="268"/>
      <c r="EM36" s="268"/>
      <c r="EN36" s="268"/>
      <c r="EO36" s="268"/>
      <c r="EP36" s="268"/>
      <c r="EQ36" s="268"/>
      <c r="ER36" s="268"/>
      <c r="ES36" s="268"/>
      <c r="ET36" s="268"/>
      <c r="EU36" s="268"/>
      <c r="EV36" s="268"/>
      <c r="EW36" s="268"/>
      <c r="EX36" s="268"/>
      <c r="EY36" s="268"/>
      <c r="EZ36" s="268"/>
      <c r="FA36" s="268"/>
      <c r="FB36" s="268"/>
      <c r="FC36" s="268"/>
      <c r="FD36" s="268"/>
      <c r="FE36" s="268"/>
      <c r="FF36" s="268"/>
      <c r="FG36" s="268"/>
      <c r="FH36" s="268"/>
      <c r="FI36" s="268"/>
      <c r="FJ36" s="268"/>
      <c r="FK36" s="268"/>
      <c r="FL36" s="268"/>
      <c r="FM36" s="268"/>
      <c r="FN36" s="268"/>
      <c r="FO36" s="268"/>
      <c r="FP36" s="268"/>
      <c r="FQ36" s="268"/>
      <c r="FR36" s="268"/>
      <c r="FS36" s="268"/>
      <c r="FT36" s="268"/>
      <c r="FU36" s="268"/>
      <c r="FV36" s="268"/>
      <c r="FW36" s="268"/>
      <c r="FX36" s="268"/>
      <c r="FY36" s="268"/>
      <c r="FZ36" s="268"/>
      <c r="GA36" s="268"/>
      <c r="GB36" s="268"/>
      <c r="GC36" s="268"/>
      <c r="GD36" s="268"/>
      <c r="GE36" s="268"/>
      <c r="GF36" s="268"/>
      <c r="GG36" s="268"/>
      <c r="GH36" s="268"/>
      <c r="GI36" s="268"/>
      <c r="GJ36" s="268"/>
      <c r="GK36" s="268"/>
      <c r="GL36" s="268"/>
      <c r="GM36" s="268"/>
      <c r="GN36" s="268"/>
      <c r="GO36" s="268"/>
      <c r="GP36" s="268"/>
      <c r="GQ36" s="268"/>
      <c r="GR36" s="268"/>
      <c r="GS36" s="268"/>
      <c r="GT36" s="268"/>
      <c r="GU36" s="268"/>
      <c r="GV36" s="268"/>
      <c r="GW36" s="268"/>
      <c r="GX36" s="268"/>
      <c r="GY36" s="268"/>
      <c r="GZ36" s="268"/>
      <c r="HA36" s="268"/>
      <c r="HB36" s="268"/>
      <c r="HC36" s="268"/>
      <c r="HD36" s="268"/>
      <c r="HE36" s="268"/>
      <c r="HF36" s="268"/>
      <c r="HG36" s="268"/>
      <c r="HH36" s="268"/>
      <c r="HI36" s="268"/>
      <c r="HJ36" s="268"/>
      <c r="HK36" s="268"/>
      <c r="HL36" s="268"/>
      <c r="HM36" s="268"/>
      <c r="HN36" s="268"/>
      <c r="HO36" s="268"/>
      <c r="HP36" s="268"/>
      <c r="HQ36" s="268"/>
      <c r="HR36" s="269"/>
    </row>
  </sheetData>
  <mergeCells count="53">
    <mergeCell ref="A34:P34"/>
    <mergeCell ref="A35:P36"/>
    <mergeCell ref="C1:G1"/>
    <mergeCell ref="N1:P1"/>
    <mergeCell ref="A2:P2"/>
    <mergeCell ref="I4:P4"/>
    <mergeCell ref="B7:F7"/>
    <mergeCell ref="I7:P7"/>
    <mergeCell ref="B9:E9"/>
    <mergeCell ref="I9:O9"/>
    <mergeCell ref="B10:E10"/>
    <mergeCell ref="I10:O10"/>
    <mergeCell ref="B11:E11"/>
    <mergeCell ref="I11:O11"/>
    <mergeCell ref="I12:O12"/>
    <mergeCell ref="B14:F14"/>
    <mergeCell ref="I14:P14"/>
    <mergeCell ref="B16:E16"/>
    <mergeCell ref="I16:J16"/>
    <mergeCell ref="L16:M16"/>
    <mergeCell ref="O16:P16"/>
    <mergeCell ref="B17:E17"/>
    <mergeCell ref="I17:J17"/>
    <mergeCell ref="L17:M17"/>
    <mergeCell ref="O17:P17"/>
    <mergeCell ref="B18:E18"/>
    <mergeCell ref="I18:J18"/>
    <mergeCell ref="L18:M18"/>
    <mergeCell ref="O18:P18"/>
    <mergeCell ref="B19:E19"/>
    <mergeCell ref="I19:J19"/>
    <mergeCell ref="L19:M19"/>
    <mergeCell ref="O19:P19"/>
    <mergeCell ref="B20:E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L23:M23"/>
    <mergeCell ref="O23:P23"/>
    <mergeCell ref="L24:M24"/>
    <mergeCell ref="A28:P28"/>
    <mergeCell ref="A29:B29"/>
    <mergeCell ref="C29:P33"/>
    <mergeCell ref="A30:B30"/>
    <mergeCell ref="A31:B31"/>
    <mergeCell ref="A32:B32"/>
    <mergeCell ref="A33:B33"/>
  </mergeCells>
  <pageMargins left="0.7" right="0.7" top="0.75" bottom="0.75" header="0.3" footer="0.3"/>
  <pageSetup firstPageNumber="1" fitToHeight="1" fitToWidth="1" scale="42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48"/>
  <sheetViews>
    <sheetView workbookViewId="0" showGridLines="0" defaultGridColor="1"/>
  </sheetViews>
  <sheetFormatPr defaultColWidth="14.3333" defaultRowHeight="21.75" customHeight="1" outlineLevelRow="0" outlineLevelCol="0"/>
  <cols>
    <col min="1" max="3" width="14.3516" style="275" customWidth="1"/>
    <col min="4" max="4" width="15" style="275" customWidth="1"/>
    <col min="5" max="5" width="15.8516" style="275" customWidth="1"/>
    <col min="6" max="8" width="14.3516" style="275" customWidth="1"/>
    <col min="9" max="9" width="11.3516" style="275" customWidth="1"/>
    <col min="10" max="10" width="17.6719" style="275" customWidth="1"/>
    <col min="11" max="13" width="14.3516" style="275" customWidth="1"/>
    <col min="14" max="14" width="16.5" style="275" customWidth="1"/>
    <col min="15" max="15" width="16.6719" style="275" customWidth="1"/>
    <col min="16" max="19" width="14.3516" style="275" customWidth="1"/>
    <col min="20" max="16384" width="14.3516" style="275" customWidth="1"/>
  </cols>
  <sheetData>
    <row r="1" ht="98.25" customHeight="1">
      <c r="A1" s="2"/>
      <c r="B1" s="3"/>
      <c r="C1" t="s" s="4">
        <v>0</v>
      </c>
      <c r="D1" s="5"/>
      <c r="E1" s="5"/>
      <c r="F1" s="3"/>
      <c r="G1" s="5"/>
      <c r="H1" t="s" s="4">
        <v>1</v>
      </c>
      <c r="I1" s="3"/>
      <c r="J1" s="3"/>
      <c r="K1" t="s" s="4">
        <v>2</v>
      </c>
      <c r="L1" s="3"/>
      <c r="M1" t="s" s="4">
        <v>3</v>
      </c>
      <c r="N1" s="3"/>
      <c r="O1" t="s" s="6">
        <v>4</v>
      </c>
      <c r="P1" s="7"/>
      <c r="Q1" s="8"/>
      <c r="R1" s="8"/>
      <c r="S1" s="9"/>
    </row>
    <row r="2" ht="51.75" customHeight="1">
      <c r="A2" t="s" s="10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3"/>
      <c r="R2" s="14"/>
      <c r="S2" s="15"/>
    </row>
    <row r="3" ht="22.5" customHeight="1">
      <c r="A3" s="16"/>
      <c r="B3" s="17"/>
      <c r="C3" s="17"/>
      <c r="D3" s="17"/>
      <c r="E3" s="18"/>
      <c r="F3" s="18"/>
      <c r="G3" s="17"/>
      <c r="H3" s="17"/>
      <c r="I3" s="17"/>
      <c r="J3" s="17"/>
      <c r="K3" s="18"/>
      <c r="L3" s="17"/>
      <c r="M3" s="17"/>
      <c r="N3" s="17"/>
      <c r="O3" s="17"/>
      <c r="P3" s="18"/>
      <c r="Q3" s="14"/>
      <c r="R3" s="14"/>
      <c r="S3" s="15"/>
    </row>
    <row r="4" ht="45.95" customHeight="1">
      <c r="A4" s="19"/>
      <c r="B4" t="s" s="20">
        <v>6</v>
      </c>
      <c r="C4" s="21"/>
      <c r="D4" s="22"/>
      <c r="E4" s="23"/>
      <c r="F4" s="24"/>
      <c r="G4" t="s" s="25">
        <v>7</v>
      </c>
      <c r="H4" s="26"/>
      <c r="I4" s="26"/>
      <c r="J4" s="27"/>
      <c r="K4" s="28"/>
      <c r="L4" t="s" s="20">
        <v>8</v>
      </c>
      <c r="M4" s="21"/>
      <c r="N4" s="21"/>
      <c r="O4" t="s" s="29">
        <v>9</v>
      </c>
      <c r="P4" s="23"/>
      <c r="Q4" s="14"/>
      <c r="R4" s="14"/>
      <c r="S4" s="15"/>
    </row>
    <row r="5" ht="45.95" customHeight="1">
      <c r="A5" s="19"/>
      <c r="B5" t="s" s="30">
        <v>10</v>
      </c>
      <c r="C5" s="31"/>
      <c r="D5" s="32"/>
      <c r="E5" s="23"/>
      <c r="F5" s="24"/>
      <c r="G5" t="s" s="33">
        <v>11</v>
      </c>
      <c r="H5" s="34"/>
      <c r="I5" s="35"/>
      <c r="J5" s="32"/>
      <c r="K5" s="28"/>
      <c r="L5" t="s" s="30">
        <v>12</v>
      </c>
      <c r="M5" s="31"/>
      <c r="N5" s="36">
        <v>0.15</v>
      </c>
      <c r="O5" s="37" cm="1">
        <f t="array" ref="O5">IF(D7/8100&lt;1,1,D7/8100)</f>
        <v>1</v>
      </c>
      <c r="P5" s="23"/>
      <c r="Q5" s="14"/>
      <c r="R5" s="14"/>
      <c r="S5" s="15"/>
    </row>
    <row r="6" ht="45.95" customHeight="1">
      <c r="A6" s="19"/>
      <c r="B6" t="s" s="30">
        <v>13</v>
      </c>
      <c r="C6" s="31"/>
      <c r="D6" s="38" cm="1">
        <f t="array" ref="D6">D5*0.85</f>
        <v>0</v>
      </c>
      <c r="E6" s="23"/>
      <c r="F6" s="24"/>
      <c r="G6" t="s" s="39">
        <v>14</v>
      </c>
      <c r="H6" s="40"/>
      <c r="I6" s="41"/>
      <c r="J6" s="42"/>
      <c r="K6" s="28"/>
      <c r="L6" t="s" s="43">
        <v>15</v>
      </c>
      <c r="M6" s="44"/>
      <c r="N6" s="36">
        <v>0.05</v>
      </c>
      <c r="O6" s="37" cm="1">
        <f t="array" ref="O6">IF(D8*N6&lt;1,1,D8*N6)</f>
      </c>
      <c r="P6" s="23"/>
      <c r="Q6" s="14"/>
      <c r="R6" s="14"/>
      <c r="S6" s="15"/>
    </row>
    <row r="7" ht="45.95" customHeight="1">
      <c r="A7" s="19"/>
      <c r="B7" t="s" s="43">
        <v>12</v>
      </c>
      <c r="C7" s="44"/>
      <c r="D7" s="38" cm="1">
        <f t="array" ref="D7">D5*0.15</f>
        <v>0</v>
      </c>
      <c r="E7" s="23"/>
      <c r="F7" s="24"/>
      <c r="G7" t="s" s="39">
        <v>16</v>
      </c>
      <c r="H7" s="40"/>
      <c r="I7" s="41"/>
      <c r="J7" s="45" cm="1">
        <f t="array" ref="J7">J5*J6</f>
        <v>0</v>
      </c>
      <c r="K7" s="28"/>
      <c r="L7" t="s" s="46">
        <v>17</v>
      </c>
      <c r="M7" s="47"/>
      <c r="N7" s="48">
        <v>0.3</v>
      </c>
      <c r="O7" s="49" cm="1">
        <f t="array" ref="O7">IF(D8*N7&lt;1,1,D8*N7)</f>
      </c>
      <c r="P7" s="23"/>
      <c r="Q7" s="14"/>
      <c r="R7" s="14"/>
      <c r="S7" s="15"/>
    </row>
    <row r="8" ht="45.95" customHeight="1">
      <c r="A8" s="19"/>
      <c r="B8" t="s" s="46">
        <v>18</v>
      </c>
      <c r="C8" s="47"/>
      <c r="D8" s="49" cm="1">
        <f t="array" ref="D8">D5/N14</f>
      </c>
      <c r="E8" s="23"/>
      <c r="F8" s="24"/>
      <c r="G8" t="s" s="50">
        <v>19</v>
      </c>
      <c r="H8" s="51"/>
      <c r="I8" s="52"/>
      <c r="J8" s="49" cm="1">
        <f t="array" ref="J8">D5*1.1</f>
        <v>0</v>
      </c>
      <c r="K8" s="23"/>
      <c r="L8" t="s" s="53">
        <v>20</v>
      </c>
      <c r="M8" s="54"/>
      <c r="N8" s="54"/>
      <c r="O8" s="54"/>
      <c r="P8" s="14"/>
      <c r="Q8" s="14"/>
      <c r="R8" s="14"/>
      <c r="S8" s="15"/>
    </row>
    <row r="9" ht="45.95" customHeight="1">
      <c r="A9" s="55"/>
      <c r="B9" s="56"/>
      <c r="C9" s="56"/>
      <c r="D9" s="56"/>
      <c r="E9" s="14"/>
      <c r="F9" s="14"/>
      <c r="G9" t="s" s="53">
        <v>21</v>
      </c>
      <c r="H9" s="54"/>
      <c r="I9" s="54"/>
      <c r="J9" s="54"/>
      <c r="K9" s="14"/>
      <c r="L9" s="57"/>
      <c r="M9" s="14"/>
      <c r="N9" s="14"/>
      <c r="O9" s="14"/>
      <c r="P9" s="14"/>
      <c r="Q9" s="14"/>
      <c r="R9" s="14"/>
      <c r="S9" s="15"/>
    </row>
    <row r="10" ht="45.95" customHeight="1">
      <c r="A10" s="55"/>
      <c r="B10" s="58"/>
      <c r="C10" s="58"/>
      <c r="D10" s="58"/>
      <c r="E10" s="58"/>
      <c r="F10" s="14"/>
      <c r="G10" s="58"/>
      <c r="H10" s="58"/>
      <c r="I10" s="58"/>
      <c r="J10" s="58"/>
      <c r="K10" s="14"/>
      <c r="L10" t="s" s="59">
        <v>22</v>
      </c>
      <c r="M10" s="60"/>
      <c r="N10" t="s" s="59">
        <v>23</v>
      </c>
      <c r="O10" s="60"/>
      <c r="P10" s="14"/>
      <c r="Q10" s="14"/>
      <c r="R10" s="14"/>
      <c r="S10" s="15"/>
    </row>
    <row r="11" ht="45.95" customHeight="1">
      <c r="A11" s="19"/>
      <c r="B11" t="s" s="25">
        <v>24</v>
      </c>
      <c r="C11" s="26"/>
      <c r="D11" s="26"/>
      <c r="E11" s="27"/>
      <c r="F11" s="28"/>
      <c r="G11" t="s" s="61">
        <v>25</v>
      </c>
      <c r="H11" s="62"/>
      <c r="I11" s="62"/>
      <c r="J11" s="63"/>
      <c r="K11" s="28"/>
      <c r="L11" t="s" s="64">
        <v>26</v>
      </c>
      <c r="M11" s="65"/>
      <c r="N11" t="s" s="64">
        <v>26</v>
      </c>
      <c r="O11" s="65"/>
      <c r="P11" s="23"/>
      <c r="Q11" s="14"/>
      <c r="R11" s="14"/>
      <c r="S11" s="15"/>
    </row>
    <row r="12" ht="45.95" customHeight="1">
      <c r="A12" s="19"/>
      <c r="B12" t="s" s="33">
        <v>27</v>
      </c>
      <c r="C12" s="35"/>
      <c r="D12" s="66" cm="1">
        <f t="array" ref="D12">D5/D31</f>
      </c>
      <c r="E12" s="67"/>
      <c r="F12" s="28"/>
      <c r="G12" t="s" s="68">
        <v>28</v>
      </c>
      <c r="H12" s="69"/>
      <c r="I12" s="70"/>
      <c r="J12" s="71"/>
      <c r="K12" s="28"/>
      <c r="L12" s="72"/>
      <c r="M12" s="73"/>
      <c r="N12" s="72"/>
      <c r="O12" s="73"/>
      <c r="P12" s="23"/>
      <c r="Q12" s="14"/>
      <c r="R12" s="14"/>
      <c r="S12" s="15"/>
    </row>
    <row r="13" ht="45.95" customHeight="1">
      <c r="A13" s="19"/>
      <c r="B13" t="s" s="50">
        <v>9</v>
      </c>
      <c r="C13" s="52"/>
      <c r="D13" s="74" cm="1">
        <f t="array" ref="D13">D8/D31</f>
      </c>
      <c r="E13" s="75"/>
      <c r="F13" s="23"/>
      <c r="G13" s="56"/>
      <c r="H13" s="56"/>
      <c r="I13" s="76"/>
      <c r="J13" s="76"/>
      <c r="K13" s="24"/>
      <c r="L13" t="s" s="64">
        <v>29</v>
      </c>
      <c r="M13" s="65"/>
      <c r="N13" t="s" s="64">
        <v>29</v>
      </c>
      <c r="O13" s="65"/>
      <c r="P13" s="23"/>
      <c r="Q13" s="14"/>
      <c r="R13" s="14"/>
      <c r="S13" s="15"/>
    </row>
    <row r="14" ht="45.95" customHeight="1">
      <c r="A14" s="55"/>
      <c r="B14" s="56"/>
      <c r="C14" s="56"/>
      <c r="D14" s="56"/>
      <c r="E14" s="56"/>
      <c r="F14" s="14"/>
      <c r="G14" s="14"/>
      <c r="H14" s="14"/>
      <c r="I14" s="77"/>
      <c r="J14" s="77"/>
      <c r="K14" s="24"/>
      <c r="L14" s="72"/>
      <c r="M14" s="73"/>
      <c r="N14" s="72"/>
      <c r="O14" s="73"/>
      <c r="P14" s="23"/>
      <c r="Q14" s="14"/>
      <c r="R14" s="14"/>
      <c r="S14" s="15"/>
    </row>
    <row r="15" ht="45.95" customHeight="1">
      <c r="A15" s="55"/>
      <c r="B15" s="14"/>
      <c r="C15" s="58"/>
      <c r="D15" s="58"/>
      <c r="E15" s="58"/>
      <c r="F15" s="58"/>
      <c r="G15" s="58"/>
      <c r="H15" s="58"/>
      <c r="I15" s="14"/>
      <c r="J15" s="14"/>
      <c r="K15" s="14"/>
      <c r="L15" s="56"/>
      <c r="M15" s="56"/>
      <c r="N15" s="56"/>
      <c r="O15" s="56"/>
      <c r="P15" s="14"/>
      <c r="Q15" s="14"/>
      <c r="R15" s="14"/>
      <c r="S15" s="15"/>
    </row>
    <row r="16" ht="55.5" customHeight="1">
      <c r="A16" s="55"/>
      <c r="B16" s="78"/>
      <c r="C16" t="s" s="79">
        <v>30</v>
      </c>
      <c r="D16" t="s" s="80">
        <v>31</v>
      </c>
      <c r="E16" t="s" s="80">
        <v>32</v>
      </c>
      <c r="F16" t="s" s="80">
        <v>33</v>
      </c>
      <c r="G16" t="s" s="80">
        <v>34</v>
      </c>
      <c r="H16" t="s" s="81">
        <v>35</v>
      </c>
      <c r="I16" s="82"/>
      <c r="J16" s="77"/>
      <c r="K16" s="14"/>
      <c r="L16" s="14"/>
      <c r="M16" s="14"/>
      <c r="N16" s="14"/>
      <c r="O16" s="14"/>
      <c r="P16" s="14"/>
      <c r="Q16" s="14"/>
      <c r="R16" s="14"/>
      <c r="S16" s="15"/>
    </row>
    <row r="17" ht="45.95" customHeight="1">
      <c r="A17" s="19"/>
      <c r="B17" t="s" s="83">
        <v>36</v>
      </c>
      <c r="C17" s="84"/>
      <c r="D17" s="85"/>
      <c r="E17" s="85"/>
      <c r="F17" s="85"/>
      <c r="G17" s="86"/>
      <c r="H17" s="87" cm="1">
        <f t="array" ref="H17">SUM(C17:G17)</f>
        <v>0</v>
      </c>
      <c r="I17" s="82"/>
      <c r="J17" s="77"/>
      <c r="K17" s="77"/>
      <c r="L17" s="77"/>
      <c r="M17" s="77"/>
      <c r="N17" s="77"/>
      <c r="O17" s="77"/>
      <c r="P17" s="14"/>
      <c r="Q17" s="14"/>
      <c r="R17" s="14"/>
      <c r="S17" s="15"/>
    </row>
    <row r="18" ht="45.95" customHeight="1">
      <c r="A18" s="19"/>
      <c r="B18" t="s" s="88">
        <v>37</v>
      </c>
      <c r="C18" s="89" cm="1">
        <f t="array" ref="C18">C17/$H$17</f>
      </c>
      <c r="D18" s="36" cm="1">
        <f t="array" ref="D18">D17/$H$17</f>
      </c>
      <c r="E18" s="36" cm="1">
        <f t="array" ref="E18">E17/$H$17</f>
      </c>
      <c r="F18" s="36" cm="1">
        <f t="array" ref="F18">F17/$H$17</f>
      </c>
      <c r="G18" s="36" cm="1">
        <f t="array" ref="G18">G17/$H$17</f>
      </c>
      <c r="H18" s="90" cm="1">
        <f t="array" ref="H18">H17/$H$17</f>
      </c>
      <c r="I18" s="82"/>
      <c r="J18" s="77"/>
      <c r="K18" s="77"/>
      <c r="L18" s="77"/>
      <c r="M18" s="77"/>
      <c r="N18" s="77"/>
      <c r="O18" s="77"/>
      <c r="P18" s="14"/>
      <c r="Q18" s="14"/>
      <c r="R18" s="14"/>
      <c r="S18" s="15"/>
    </row>
    <row r="19" ht="45.95" customHeight="1">
      <c r="A19" s="19"/>
      <c r="B19" t="s" s="91">
        <v>38</v>
      </c>
      <c r="C19" s="92" cm="1">
        <f t="array" ref="C19">C18*$D$5</f>
      </c>
      <c r="D19" s="93" cm="1">
        <f t="array" ref="D19">D18*$D$5</f>
      </c>
      <c r="E19" s="93" cm="1">
        <f t="array" ref="E19">E18*$D$5</f>
      </c>
      <c r="F19" s="93" cm="1">
        <f t="array" ref="F19">F18*$D$5</f>
      </c>
      <c r="G19" s="93" cm="1">
        <f t="array" ref="G19">G18*$D$5</f>
      </c>
      <c r="H19" s="49" cm="1">
        <f t="array" ref="H19">SUM(C19:G19)</f>
      </c>
      <c r="I19" s="82"/>
      <c r="J19" s="77"/>
      <c r="K19" s="77"/>
      <c r="L19" s="77"/>
      <c r="M19" s="77"/>
      <c r="N19" s="77"/>
      <c r="O19" s="77"/>
      <c r="P19" s="14"/>
      <c r="Q19" s="14"/>
      <c r="R19" s="14"/>
      <c r="S19" s="15"/>
    </row>
    <row r="20" ht="45.95" customHeight="1">
      <c r="A20" s="55"/>
      <c r="B20" s="56"/>
      <c r="C20" s="56"/>
      <c r="D20" s="56"/>
      <c r="E20" s="94"/>
      <c r="F20" s="94"/>
      <c r="G20" s="56"/>
      <c r="H20" s="56"/>
      <c r="I20" s="77"/>
      <c r="J20" s="77"/>
      <c r="K20" s="14"/>
      <c r="L20" s="14"/>
      <c r="M20" s="14"/>
      <c r="N20" s="14"/>
      <c r="O20" s="14"/>
      <c r="P20" s="14"/>
      <c r="Q20" s="14"/>
      <c r="R20" s="14"/>
      <c r="S20" s="15"/>
    </row>
    <row r="21" ht="35.25" customHeight="1">
      <c r="A21" s="5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14"/>
      <c r="N21" s="14"/>
      <c r="O21" s="14"/>
      <c r="P21" s="14"/>
      <c r="Q21" s="14"/>
      <c r="R21" s="14"/>
      <c r="S21" s="15"/>
    </row>
    <row r="22" ht="78.75" customHeight="1">
      <c r="A22" s="96"/>
      <c r="B22" t="s" s="97">
        <v>39</v>
      </c>
      <c r="C22" s="98"/>
      <c r="D22" t="s" s="97">
        <v>40</v>
      </c>
      <c r="E22" s="98"/>
      <c r="F22" t="s" s="97">
        <v>41</v>
      </c>
      <c r="G22" t="s" s="97">
        <v>42</v>
      </c>
      <c r="H22" s="98"/>
      <c r="I22" t="s" s="97">
        <v>43</v>
      </c>
      <c r="J22" s="98"/>
      <c r="K22" t="s" s="97">
        <v>44</v>
      </c>
      <c r="L22" t="s" s="97">
        <v>45</v>
      </c>
      <c r="M22" t="s" s="99">
        <v>46</v>
      </c>
      <c r="N22" s="100"/>
      <c r="O22" s="100"/>
      <c r="P22" s="100"/>
      <c r="Q22" s="14"/>
      <c r="R22" s="14"/>
      <c r="S22" s="15"/>
    </row>
    <row r="23" ht="45.95" customHeight="1">
      <c r="A23" s="96"/>
      <c r="B23" s="271" cm="1">
        <f t="array" ref="B23">'DOMINGO'!B23</f>
        <v>0</v>
      </c>
      <c r="C23" s="44"/>
      <c r="D23" s="101"/>
      <c r="E23" s="101"/>
      <c r="F23" s="102" cm="1">
        <f t="array" ref="F23">($D$5/$D$31)*D23</f>
      </c>
      <c r="G23" s="103" cm="1">
        <f t="array" ref="G23">(($D$8-$O$5)/$D$31)*D23</f>
      </c>
      <c r="H23" s="104"/>
      <c r="I23" s="105"/>
      <c r="J23" s="105"/>
      <c r="K23" s="105"/>
      <c r="L23" s="105"/>
      <c r="M23" s="106"/>
      <c r="N23" s="100"/>
      <c r="O23" s="100"/>
      <c r="P23" s="100"/>
      <c r="Q23" s="77"/>
      <c r="R23" s="14"/>
      <c r="S23" s="15"/>
    </row>
    <row r="24" ht="45.95" customHeight="1">
      <c r="A24" s="96"/>
      <c r="B24" s="271" cm="1">
        <f t="array" ref="B24">'DOMINGO'!B24</f>
        <v>0</v>
      </c>
      <c r="C24" s="44"/>
      <c r="D24" s="101"/>
      <c r="E24" s="101"/>
      <c r="F24" s="102" cm="1">
        <f t="array" ref="F24">($D$5/$D$31)*D24</f>
      </c>
      <c r="G24" s="103" cm="1">
        <f t="array" ref="G24">(($D$8-$O$5)/$D$31)*D24</f>
      </c>
      <c r="H24" s="104"/>
      <c r="I24" s="105"/>
      <c r="J24" s="105"/>
      <c r="K24" s="105"/>
      <c r="L24" s="105"/>
      <c r="M24" s="106"/>
      <c r="N24" s="100"/>
      <c r="O24" s="100"/>
      <c r="P24" s="100"/>
      <c r="Q24" s="107"/>
      <c r="R24" s="14"/>
      <c r="S24" s="15"/>
    </row>
    <row r="25" ht="45.95" customHeight="1">
      <c r="A25" s="96"/>
      <c r="B25" s="271" cm="1">
        <f t="array" ref="B25">'DOMINGO'!B25</f>
        <v>0</v>
      </c>
      <c r="C25" s="44"/>
      <c r="D25" s="109"/>
      <c r="E25" s="110"/>
      <c r="F25" s="102" cm="1">
        <f t="array" ref="F25">($D$5/$D$31)*D25</f>
      </c>
      <c r="G25" s="103" cm="1">
        <f t="array" ref="G25">(($D$8-$O$5)/$D$31)*D25</f>
      </c>
      <c r="H25" s="104"/>
      <c r="I25" s="44"/>
      <c r="J25" s="44"/>
      <c r="K25" s="105"/>
      <c r="L25" s="105"/>
      <c r="M25" s="106"/>
      <c r="N25" s="100"/>
      <c r="O25" s="100"/>
      <c r="P25" s="100"/>
      <c r="Q25" s="107"/>
      <c r="R25" s="14"/>
      <c r="S25" s="15"/>
    </row>
    <row r="26" ht="45.95" customHeight="1">
      <c r="A26" s="96"/>
      <c r="B26" s="271" cm="1">
        <f t="array" ref="B26">'DOMINGO'!B26</f>
        <v>0</v>
      </c>
      <c r="C26" s="44"/>
      <c r="D26" s="109"/>
      <c r="E26" s="110"/>
      <c r="F26" s="102" cm="1">
        <f t="array" ref="F26">($D$5/$D$31)*D26</f>
      </c>
      <c r="G26" s="103" cm="1">
        <f t="array" ref="G26">(($D$8-$O$5)/$D$31)*D26</f>
      </c>
      <c r="H26" s="104"/>
      <c r="I26" s="44"/>
      <c r="J26" s="44"/>
      <c r="K26" s="105"/>
      <c r="L26" s="105"/>
      <c r="M26" s="106"/>
      <c r="N26" s="100"/>
      <c r="O26" s="100"/>
      <c r="P26" s="100"/>
      <c r="Q26" s="107"/>
      <c r="R26" s="14"/>
      <c r="S26" s="15"/>
    </row>
    <row r="27" ht="45.95" customHeight="1">
      <c r="A27" s="96"/>
      <c r="B27" s="271" cm="1">
        <f t="array" ref="B27">'DOMINGO'!B27</f>
        <v>0</v>
      </c>
      <c r="C27" s="44"/>
      <c r="D27" s="109"/>
      <c r="E27" s="110"/>
      <c r="F27" s="102" cm="1">
        <f t="array" ref="F27">($D$5/$D$31)*D27</f>
      </c>
      <c r="G27" s="103" cm="1">
        <f t="array" ref="G27">(($D$8-$O$5)/$D$31)*D27</f>
      </c>
      <c r="H27" s="104"/>
      <c r="I27" s="44"/>
      <c r="J27" s="44"/>
      <c r="K27" s="105"/>
      <c r="L27" s="105"/>
      <c r="M27" s="106"/>
      <c r="N27" s="100"/>
      <c r="O27" s="100"/>
      <c r="P27" s="100"/>
      <c r="Q27" s="107"/>
      <c r="R27" s="14"/>
      <c r="S27" s="15"/>
    </row>
    <row r="28" ht="45.95" customHeight="1">
      <c r="A28" s="96"/>
      <c r="B28" s="271" cm="1">
        <f t="array" ref="B28">'DOMINGO'!B28</f>
        <v>0</v>
      </c>
      <c r="C28" s="44"/>
      <c r="D28" s="109"/>
      <c r="E28" s="110"/>
      <c r="F28" s="102" cm="1">
        <f t="array" ref="F28">($D$5/$D$31)*D28</f>
      </c>
      <c r="G28" s="103" cm="1">
        <f t="array" ref="G28">(($D$8-$O$5)/$D$31)*D28</f>
      </c>
      <c r="H28" s="104"/>
      <c r="I28" s="44"/>
      <c r="J28" s="44"/>
      <c r="K28" s="105"/>
      <c r="L28" s="105"/>
      <c r="M28" s="106"/>
      <c r="N28" s="100"/>
      <c r="O28" s="100"/>
      <c r="P28" s="100"/>
      <c r="Q28" s="107"/>
      <c r="R28" s="14"/>
      <c r="S28" s="15"/>
    </row>
    <row r="29" ht="45.95" customHeight="1">
      <c r="A29" s="96"/>
      <c r="B29" s="271" cm="1">
        <f t="array" ref="B29">'DOMINGO'!B29</f>
        <v>0</v>
      </c>
      <c r="C29" s="44"/>
      <c r="D29" s="109"/>
      <c r="E29" s="110"/>
      <c r="F29" s="102" cm="1">
        <f t="array" ref="F29">($D$5/$D$31)*D29</f>
      </c>
      <c r="G29" s="103" cm="1">
        <f t="array" ref="G29">(($D$8-$O$5)/$D$31)*D29</f>
      </c>
      <c r="H29" s="104"/>
      <c r="I29" s="44"/>
      <c r="J29" s="44"/>
      <c r="K29" s="105"/>
      <c r="L29" s="105"/>
      <c r="M29" s="106"/>
      <c r="N29" s="100"/>
      <c r="O29" s="100"/>
      <c r="P29" s="100"/>
      <c r="Q29" s="107"/>
      <c r="R29" s="14"/>
      <c r="S29" s="15"/>
    </row>
    <row r="30" ht="45.95" customHeight="1">
      <c r="A30" s="96"/>
      <c r="B30" s="271" cm="1">
        <f t="array" ref="B30">'DOMINGO'!B30</f>
        <v>0</v>
      </c>
      <c r="C30" s="44"/>
      <c r="D30" s="101"/>
      <c r="E30" s="101"/>
      <c r="F30" s="102" cm="1">
        <f t="array" ref="F30">($D$5/$D$31)*D30</f>
      </c>
      <c r="G30" s="103" cm="1">
        <f t="array" ref="G30">(($D$8-$O$5)/$D$31)*D30</f>
      </c>
      <c r="H30" s="104"/>
      <c r="I30" s="105"/>
      <c r="J30" s="105"/>
      <c r="K30" s="105"/>
      <c r="L30" s="105"/>
      <c r="M30" s="106"/>
      <c r="N30" s="100"/>
      <c r="O30" s="100"/>
      <c r="P30" s="100"/>
      <c r="Q30" s="77"/>
      <c r="R30" s="14"/>
      <c r="S30" s="15"/>
    </row>
    <row r="31" ht="45.95" customHeight="1">
      <c r="A31" s="96"/>
      <c r="B31" t="s" s="111">
        <v>35</v>
      </c>
      <c r="C31" s="112"/>
      <c r="D31" s="102" cm="1">
        <f t="array" ref="D31">SUM(D23:D30)</f>
        <v>0</v>
      </c>
      <c r="E31" s="102"/>
      <c r="F31" s="102" cm="1">
        <f t="array" ref="F31">SUM(F23:F30)</f>
      </c>
      <c r="G31" s="103" cm="1">
        <f t="array" ref="G31">SUM(G23:H30)</f>
      </c>
      <c r="H31" s="104"/>
      <c r="I31" s="102" cm="1">
        <f t="array" ref="I31">SUM(I23:I30)</f>
        <v>0</v>
      </c>
      <c r="J31" s="102"/>
      <c r="K31" s="102" cm="1">
        <f t="array" ref="K31">O6</f>
      </c>
      <c r="L31" s="102" cm="1">
        <f t="array" ref="L31">O7</f>
      </c>
      <c r="M31" s="106"/>
      <c r="N31" s="100"/>
      <c r="O31" s="100"/>
      <c r="P31" s="100"/>
      <c r="Q31" s="77"/>
      <c r="R31" s="14"/>
      <c r="S31" s="15"/>
    </row>
    <row r="32" ht="45.95" customHeight="1">
      <c r="A32" s="113"/>
      <c r="B32" s="51"/>
      <c r="C32" s="58"/>
      <c r="D32" s="51"/>
      <c r="E32" s="51"/>
      <c r="F32" s="51"/>
      <c r="G32" s="51"/>
      <c r="H32" s="51"/>
      <c r="I32" s="114"/>
      <c r="J32" s="114"/>
      <c r="K32" s="114"/>
      <c r="L32" s="114"/>
      <c r="M32" s="115"/>
      <c r="N32" s="115"/>
      <c r="O32" s="115"/>
      <c r="P32" s="58"/>
      <c r="Q32" s="14"/>
      <c r="R32" s="14"/>
      <c r="S32" s="15"/>
    </row>
    <row r="33" ht="62.25" customHeight="1">
      <c r="A33" t="s" s="116">
        <v>47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73"/>
      <c r="Q33" s="118"/>
      <c r="R33" s="119"/>
      <c r="S33" s="15"/>
    </row>
    <row r="34" ht="56.45" customHeight="1">
      <c r="A34" s="120"/>
      <c r="B34" s="121"/>
      <c r="C34" s="121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56"/>
      <c r="O34" s="56"/>
      <c r="P34" s="56"/>
      <c r="Q34" s="14"/>
      <c r="R34" s="14"/>
      <c r="S34" s="15"/>
    </row>
    <row r="35" ht="73.5" customHeight="1">
      <c r="A35" s="122"/>
      <c r="B35" t="s" s="123">
        <v>48</v>
      </c>
      <c r="C35" s="124"/>
      <c r="D35" t="s" s="125">
        <v>49</v>
      </c>
      <c r="E35" t="s" s="126">
        <v>50</v>
      </c>
      <c r="F35" t="s" s="127">
        <v>51</v>
      </c>
      <c r="G35" t="s" s="126">
        <v>52</v>
      </c>
      <c r="H35" t="s" s="127">
        <v>53</v>
      </c>
      <c r="I35" t="s" s="128">
        <v>54</v>
      </c>
      <c r="J35" s="129"/>
      <c r="K35" t="s" s="130">
        <v>55</v>
      </c>
      <c r="L35" t="s" s="130">
        <v>56</v>
      </c>
      <c r="M35" t="s" s="130">
        <v>57</v>
      </c>
      <c r="N35" t="s" s="131">
        <v>58</v>
      </c>
      <c r="O35" s="132"/>
      <c r="P35" t="s" s="133">
        <v>59</v>
      </c>
      <c r="Q35" s="14"/>
      <c r="R35" s="14"/>
      <c r="S35" s="15"/>
    </row>
    <row r="36" ht="27" customHeight="1">
      <c r="A36" s="122"/>
      <c r="B36" s="134"/>
      <c r="C36" s="135"/>
      <c r="D36" s="136" cm="1">
        <f t="array" ref="D36">D5</f>
        <v>0</v>
      </c>
      <c r="E36" s="137" cm="1">
        <f t="array" ref="E36">H48</f>
        <v>0</v>
      </c>
      <c r="F36" s="137" cm="1">
        <f t="array" ref="F36">D8</f>
      </c>
      <c r="G36" s="137" cm="1">
        <f t="array" ref="G36">I48+K48</f>
        <v>0</v>
      </c>
      <c r="H36" s="138" cm="1">
        <f t="array" ref="H36">F48/E48</f>
      </c>
      <c r="I36" s="139" cm="1">
        <f t="array" ref="I36">H36-J6</f>
      </c>
      <c r="J36" s="140"/>
      <c r="K36" s="139" cm="1">
        <f t="array" ref="K36">K48/G36</f>
      </c>
      <c r="L36" s="140" cm="1">
        <f t="array" ref="L36">M48/G36</f>
      </c>
      <c r="M36" s="141" cm="1">
        <f t="array" ref="M36">N48/G36</f>
      </c>
      <c r="N36" s="142"/>
      <c r="O36" s="14"/>
      <c r="P36" s="14"/>
      <c r="Q36" s="14"/>
      <c r="R36" s="14"/>
      <c r="S36" s="15"/>
    </row>
    <row r="37" ht="15.6" customHeight="1">
      <c r="A37" s="55"/>
      <c r="B37" s="18"/>
      <c r="C37" s="18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14"/>
      <c r="O37" s="14"/>
      <c r="P37" s="14"/>
      <c r="Q37" s="14"/>
      <c r="R37" s="14"/>
      <c r="S37" s="15"/>
    </row>
    <row r="38" ht="15.6" customHeight="1">
      <c r="A38" s="55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"/>
      <c r="P38" s="14"/>
      <c r="Q38" s="14"/>
      <c r="R38" s="14"/>
      <c r="S38" s="15"/>
    </row>
    <row r="39" ht="57.95" customHeight="1">
      <c r="A39" s="122"/>
      <c r="B39" t="s" s="144">
        <v>60</v>
      </c>
      <c r="C39" s="145"/>
      <c r="D39" t="s" s="146">
        <v>40</v>
      </c>
      <c r="E39" t="s" s="146">
        <v>61</v>
      </c>
      <c r="F39" t="s" s="146">
        <v>62</v>
      </c>
      <c r="G39" t="s" s="146">
        <v>63</v>
      </c>
      <c r="H39" t="s" s="146">
        <v>64</v>
      </c>
      <c r="I39" t="s" s="146">
        <v>65</v>
      </c>
      <c r="J39" t="s" s="146">
        <v>66</v>
      </c>
      <c r="K39" t="s" s="146">
        <v>67</v>
      </c>
      <c r="L39" t="s" s="146">
        <v>68</v>
      </c>
      <c r="M39" t="s" s="146">
        <v>69</v>
      </c>
      <c r="N39" t="s" s="147">
        <v>70</v>
      </c>
      <c r="O39" s="13"/>
      <c r="P39" s="14"/>
      <c r="Q39" s="14"/>
      <c r="R39" t="s" s="148">
        <v>71</v>
      </c>
      <c r="S39" s="15"/>
    </row>
    <row r="40" ht="45.95" customHeight="1">
      <c r="A40" s="122"/>
      <c r="B40" s="149" cm="1">
        <f t="array" ref="B40">B23</f>
        <v>0</v>
      </c>
      <c r="C40" s="150"/>
      <c r="D40" s="151" cm="1">
        <f t="array" ref="D40">D23</f>
        <v>0</v>
      </c>
      <c r="E40" s="152"/>
      <c r="F40" s="153"/>
      <c r="G40" t="str" s="150" cm="1">
        <f t="array" ref="G40">_xlfn.IFERROR(F40/E40,"0")</f>
        <v>0</v>
      </c>
      <c r="H40" s="153"/>
      <c r="I40" s="153"/>
      <c r="J40" s="153"/>
      <c r="K40" s="153"/>
      <c r="L40" t="str" s="150" cm="1">
        <f t="array" ref="L40">_xlfn.IFERROR(K40/J40,"0")</f>
        <v>0</v>
      </c>
      <c r="M40" s="153"/>
      <c r="N40" s="154"/>
      <c r="O40" s="13"/>
      <c r="P40" s="14"/>
      <c r="Q40" s="14"/>
      <c r="R40" s="14"/>
      <c r="S40" s="15"/>
    </row>
    <row r="41" ht="45.95" customHeight="1">
      <c r="A41" s="122"/>
      <c r="B41" s="149" cm="1">
        <f t="array" ref="B41">B24</f>
        <v>0</v>
      </c>
      <c r="C41" s="150"/>
      <c r="D41" s="151" cm="1">
        <f t="array" ref="D41">D24</f>
        <v>0</v>
      </c>
      <c r="E41" s="152"/>
      <c r="F41" s="153"/>
      <c r="G41" t="str" s="150" cm="1">
        <f t="array" ref="G41">_xlfn.IFERROR(F41/E41,"0")</f>
        <v>0</v>
      </c>
      <c r="H41" s="153"/>
      <c r="I41" s="153"/>
      <c r="J41" s="153"/>
      <c r="K41" s="153"/>
      <c r="L41" t="str" s="150" cm="1">
        <f t="array" ref="L41">_xlfn.IFERROR(K41/J41,"0")</f>
        <v>0</v>
      </c>
      <c r="M41" s="153"/>
      <c r="N41" s="154"/>
      <c r="O41" s="13"/>
      <c r="P41" s="14"/>
      <c r="Q41" s="14"/>
      <c r="R41" s="14"/>
      <c r="S41" s="15"/>
    </row>
    <row r="42" ht="45.95" customHeight="1">
      <c r="A42" s="122"/>
      <c r="B42" s="149" cm="1">
        <f t="array" ref="B42">B25</f>
        <v>0</v>
      </c>
      <c r="C42" s="150"/>
      <c r="D42" s="151" cm="1">
        <f t="array" ref="D42">D25</f>
        <v>0</v>
      </c>
      <c r="E42" s="152"/>
      <c r="F42" s="153"/>
      <c r="G42" t="str" s="150" cm="1">
        <f t="array" ref="G42">_xlfn.IFERROR(F42/E42,"0")</f>
        <v>0</v>
      </c>
      <c r="H42" s="153"/>
      <c r="I42" s="153"/>
      <c r="J42" s="153"/>
      <c r="K42" s="153"/>
      <c r="L42" t="str" s="150" cm="1">
        <f t="array" ref="L42">_xlfn.IFERROR(K42/J42,"0")</f>
        <v>0</v>
      </c>
      <c r="M42" s="153"/>
      <c r="N42" s="154"/>
      <c r="O42" s="13"/>
      <c r="P42" s="14"/>
      <c r="Q42" s="14"/>
      <c r="R42" s="14"/>
      <c r="S42" s="15"/>
    </row>
    <row r="43" ht="45.95" customHeight="1">
      <c r="A43" s="122"/>
      <c r="B43" s="149" cm="1">
        <f t="array" ref="B43">B26</f>
        <v>0</v>
      </c>
      <c r="C43" s="153"/>
      <c r="D43" s="151" cm="1">
        <f t="array" ref="D43">D26</f>
        <v>0</v>
      </c>
      <c r="E43" s="152"/>
      <c r="F43" s="153"/>
      <c r="G43" t="str" s="150" cm="1">
        <f t="array" ref="G43">_xlfn.IFERROR(F43/E43,"0")</f>
        <v>0</v>
      </c>
      <c r="H43" s="153"/>
      <c r="I43" s="153"/>
      <c r="J43" s="153"/>
      <c r="K43" s="153"/>
      <c r="L43" t="str" s="150" cm="1">
        <f t="array" ref="L43">_xlfn.IFERROR(K43/J43,"0")</f>
        <v>0</v>
      </c>
      <c r="M43" s="153"/>
      <c r="N43" s="154"/>
      <c r="O43" s="13"/>
      <c r="P43" s="14"/>
      <c r="Q43" s="14"/>
      <c r="R43" s="14"/>
      <c r="S43" s="15"/>
    </row>
    <row r="44" ht="45.95" customHeight="1">
      <c r="A44" s="122"/>
      <c r="B44" s="149" cm="1">
        <f t="array" ref="B44">B27</f>
        <v>0</v>
      </c>
      <c r="C44" s="153"/>
      <c r="D44" s="151" cm="1">
        <f t="array" ref="D44">D27</f>
        <v>0</v>
      </c>
      <c r="E44" s="152"/>
      <c r="F44" s="153"/>
      <c r="G44" t="str" s="150" cm="1">
        <f t="array" ref="G44">_xlfn.IFERROR(F44/E44,"0")</f>
        <v>0</v>
      </c>
      <c r="H44" s="153"/>
      <c r="I44" s="153"/>
      <c r="J44" s="153"/>
      <c r="K44" s="153"/>
      <c r="L44" t="str" s="150" cm="1">
        <f t="array" ref="L44">_xlfn.IFERROR(K44/J44,"0")</f>
        <v>0</v>
      </c>
      <c r="M44" s="153"/>
      <c r="N44" s="154"/>
      <c r="O44" s="13"/>
      <c r="P44" s="14"/>
      <c r="Q44" s="14"/>
      <c r="R44" s="14"/>
      <c r="S44" s="15"/>
    </row>
    <row r="45" ht="45.95" customHeight="1">
      <c r="A45" s="122"/>
      <c r="B45" s="149" cm="1">
        <f t="array" ref="B45">B28</f>
        <v>0</v>
      </c>
      <c r="C45" s="153"/>
      <c r="D45" s="151" cm="1">
        <f t="array" ref="D45">D28</f>
        <v>0</v>
      </c>
      <c r="E45" s="152"/>
      <c r="F45" s="153"/>
      <c r="G45" t="str" s="150" cm="1">
        <f t="array" ref="G45">_xlfn.IFERROR(F45/E45,"0")</f>
        <v>0</v>
      </c>
      <c r="H45" s="153"/>
      <c r="I45" s="153"/>
      <c r="J45" s="153"/>
      <c r="K45" s="153"/>
      <c r="L45" t="str" s="150" cm="1">
        <f t="array" ref="L45">_xlfn.IFERROR(K45/J45,"0")</f>
        <v>0</v>
      </c>
      <c r="M45" s="153"/>
      <c r="N45" s="154"/>
      <c r="O45" s="13"/>
      <c r="P45" s="14"/>
      <c r="Q45" s="14"/>
      <c r="R45" s="14"/>
      <c r="S45" s="15"/>
    </row>
    <row r="46" ht="45.95" customHeight="1">
      <c r="A46" s="122"/>
      <c r="B46" s="149" cm="1">
        <f t="array" ref="B46">B29</f>
        <v>0</v>
      </c>
      <c r="C46" s="153"/>
      <c r="D46" s="151" cm="1">
        <f t="array" ref="D46">D29</f>
        <v>0</v>
      </c>
      <c r="E46" s="152"/>
      <c r="F46" s="153"/>
      <c r="G46" t="str" s="150" cm="1">
        <f t="array" ref="G46">_xlfn.IFERROR(F46/E46,"0")</f>
        <v>0</v>
      </c>
      <c r="H46" s="153"/>
      <c r="I46" s="153"/>
      <c r="J46" s="153"/>
      <c r="K46" s="153"/>
      <c r="L46" t="str" s="150" cm="1">
        <f t="array" ref="L46">_xlfn.IFERROR(K46/J46,"0")</f>
        <v>0</v>
      </c>
      <c r="M46" s="153"/>
      <c r="N46" s="154"/>
      <c r="O46" s="13"/>
      <c r="P46" s="14"/>
      <c r="Q46" s="14"/>
      <c r="R46" s="14"/>
      <c r="S46" s="15"/>
    </row>
    <row r="47" ht="45.95" customHeight="1">
      <c r="A47" s="122"/>
      <c r="B47" s="149" cm="1">
        <f t="array" ref="B47">B30</f>
        <v>0</v>
      </c>
      <c r="C47" s="153"/>
      <c r="D47" s="151" cm="1">
        <f t="array" ref="D47">D30</f>
        <v>0</v>
      </c>
      <c r="E47" s="152"/>
      <c r="F47" s="153"/>
      <c r="G47" t="str" s="150" cm="1">
        <f t="array" ref="G47">_xlfn.IFERROR(F47/E47,"0")</f>
        <v>0</v>
      </c>
      <c r="H47" s="153"/>
      <c r="I47" s="153"/>
      <c r="J47" s="153"/>
      <c r="K47" s="153"/>
      <c r="L47" t="str" s="150" cm="1">
        <f t="array" ref="L47">_xlfn.IFERROR(K47/J47,"0")</f>
        <v>0</v>
      </c>
      <c r="M47" s="153"/>
      <c r="N47" s="154"/>
      <c r="O47" s="13"/>
      <c r="P47" s="14"/>
      <c r="Q47" s="14"/>
      <c r="R47" s="14"/>
      <c r="S47" s="15"/>
    </row>
    <row r="48" ht="45.95" customHeight="1">
      <c r="A48" s="155"/>
      <c r="B48" t="s" s="156">
        <v>35</v>
      </c>
      <c r="C48" s="157"/>
      <c r="D48" s="158" cm="1">
        <f t="array" ref="D48">SUM(D40:D42)</f>
        <v>0</v>
      </c>
      <c r="E48" s="159" cm="1">
        <f t="array" ref="E48">SUM(E40:E47)</f>
        <v>0</v>
      </c>
      <c r="F48" s="159" cm="1">
        <f t="array" ref="F48">SUM(F40:F47)</f>
        <v>0</v>
      </c>
      <c r="G48" t="str" s="157" cm="1">
        <f t="array" ref="G48">_xlfn.IFERROR(F48/E48,"0")</f>
        <v>0</v>
      </c>
      <c r="H48" s="159" cm="1">
        <f t="array" ref="H48">SUM(H40:H47)</f>
        <v>0</v>
      </c>
      <c r="I48" s="159" cm="1">
        <f t="array" ref="I48">SUM(I40:I47)</f>
        <v>0</v>
      </c>
      <c r="J48" s="159" cm="1">
        <f t="array" ref="J48">SUM(J40:J47)</f>
        <v>0</v>
      </c>
      <c r="K48" s="159" cm="1">
        <f t="array" ref="K48">SUM(K40:K47)</f>
        <v>0</v>
      </c>
      <c r="L48" t="str" s="157" cm="1">
        <f t="array" ref="L48">_xlfn.IFERROR(K48/J48,"0")</f>
        <v>0</v>
      </c>
      <c r="M48" s="159" cm="1">
        <f t="array" ref="M48">SUM(M40:M47)</f>
        <v>0</v>
      </c>
      <c r="N48" s="159" cm="1">
        <f t="array" ref="N48">SUM(N40:N47)</f>
        <v>0</v>
      </c>
      <c r="O48" s="160"/>
      <c r="P48" s="161"/>
      <c r="Q48" s="162">
        <v>3</v>
      </c>
      <c r="R48" s="161"/>
      <c r="S48" s="163"/>
    </row>
  </sheetData>
  <mergeCells count="90">
    <mergeCell ref="N12:O12"/>
    <mergeCell ref="B42:C42"/>
    <mergeCell ref="B41:C41"/>
    <mergeCell ref="B39:C39"/>
    <mergeCell ref="B40:C40"/>
    <mergeCell ref="B35:C36"/>
    <mergeCell ref="I35:J35"/>
    <mergeCell ref="I36:J36"/>
    <mergeCell ref="D25:E25"/>
    <mergeCell ref="D26:E26"/>
    <mergeCell ref="D27:E27"/>
    <mergeCell ref="C1:E1"/>
    <mergeCell ref="B4:D4"/>
    <mergeCell ref="B5:C5"/>
    <mergeCell ref="B6:C6"/>
    <mergeCell ref="B7:C7"/>
    <mergeCell ref="B48:C48"/>
    <mergeCell ref="L10:M10"/>
    <mergeCell ref="N10:O10"/>
    <mergeCell ref="B11:E11"/>
    <mergeCell ref="A33:P33"/>
    <mergeCell ref="M22:P31"/>
    <mergeCell ref="B22:C22"/>
    <mergeCell ref="B31:C31"/>
    <mergeCell ref="L12:M12"/>
    <mergeCell ref="L11:M11"/>
    <mergeCell ref="N11:O11"/>
    <mergeCell ref="L14:M14"/>
    <mergeCell ref="N14:O14"/>
    <mergeCell ref="L8:O8"/>
    <mergeCell ref="L4:N4"/>
    <mergeCell ref="L5:M5"/>
    <mergeCell ref="L6:M6"/>
    <mergeCell ref="L7:M7"/>
    <mergeCell ref="G11:J11"/>
    <mergeCell ref="D12:E12"/>
    <mergeCell ref="D13:E13"/>
    <mergeCell ref="I12:J12"/>
    <mergeCell ref="G4:J4"/>
    <mergeCell ref="G5:I5"/>
    <mergeCell ref="G6:I6"/>
    <mergeCell ref="G7:I7"/>
    <mergeCell ref="G8:I8"/>
    <mergeCell ref="I30:J30"/>
    <mergeCell ref="I31:J31"/>
    <mergeCell ref="D24:E24"/>
    <mergeCell ref="D30:E30"/>
    <mergeCell ref="D31:E31"/>
    <mergeCell ref="G31:H31"/>
    <mergeCell ref="D28:E28"/>
    <mergeCell ref="D29:E29"/>
    <mergeCell ref="O1:P1"/>
    <mergeCell ref="A2:P2"/>
    <mergeCell ref="I24:J24"/>
    <mergeCell ref="G22:H22"/>
    <mergeCell ref="B12:C12"/>
    <mergeCell ref="D22:E22"/>
    <mergeCell ref="D23:E23"/>
    <mergeCell ref="G9:J9"/>
    <mergeCell ref="B8:C8"/>
    <mergeCell ref="I22:J22"/>
    <mergeCell ref="I23:J23"/>
    <mergeCell ref="B13:C13"/>
    <mergeCell ref="G12:H12"/>
    <mergeCell ref="I25:J25"/>
    <mergeCell ref="I26:J26"/>
    <mergeCell ref="I27:J27"/>
    <mergeCell ref="I28:J28"/>
    <mergeCell ref="I29:J29"/>
    <mergeCell ref="B47:C47"/>
    <mergeCell ref="B46:C46"/>
    <mergeCell ref="B45:C45"/>
    <mergeCell ref="B44:C44"/>
    <mergeCell ref="B43:C43"/>
    <mergeCell ref="G30:H30"/>
    <mergeCell ref="G29:H29"/>
    <mergeCell ref="G28:H28"/>
    <mergeCell ref="G27:H27"/>
    <mergeCell ref="G26:H26"/>
    <mergeCell ref="G25:H25"/>
    <mergeCell ref="G24:H24"/>
    <mergeCell ref="G23:H23"/>
    <mergeCell ref="B30:C30"/>
    <mergeCell ref="B29:C29"/>
    <mergeCell ref="B28:C28"/>
    <mergeCell ref="B27:C27"/>
    <mergeCell ref="B26:C26"/>
    <mergeCell ref="B25:C25"/>
    <mergeCell ref="B24:C24"/>
    <mergeCell ref="B23:C23"/>
  </mergeCells>
  <pageMargins left="0.25" right="0.25" top="0.32" bottom="0.29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HR36"/>
  <sheetViews>
    <sheetView workbookViewId="0" showGridLines="0" defaultGridColor="1"/>
  </sheetViews>
  <sheetFormatPr defaultColWidth="16.1667" defaultRowHeight="54.75" customHeight="1" outlineLevelRow="0" outlineLevelCol="0"/>
  <cols>
    <col min="1" max="226" width="16.1719" style="276" customWidth="1"/>
    <col min="227" max="16384" width="16.1719" style="276" customWidth="1"/>
  </cols>
  <sheetData>
    <row r="1" ht="94.5" customHeight="1">
      <c r="A1" s="165"/>
      <c r="B1" s="166"/>
      <c r="C1" t="s" s="167">
        <v>73</v>
      </c>
      <c r="D1" s="168"/>
      <c r="E1" s="168"/>
      <c r="F1" s="168"/>
      <c r="G1" s="168"/>
      <c r="H1" s="169"/>
      <c r="I1" t="s" s="170">
        <v>1</v>
      </c>
      <c r="J1" s="171"/>
      <c r="K1" t="s" s="172">
        <v>2</v>
      </c>
      <c r="L1" s="173"/>
      <c r="M1" s="174"/>
      <c r="N1" t="s" s="175">
        <v>4</v>
      </c>
      <c r="O1" s="176"/>
      <c r="P1" s="177"/>
      <c r="Q1" s="178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80"/>
    </row>
    <row r="2" ht="54.75" customHeight="1">
      <c r="A2" t="s" s="181">
        <v>74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3"/>
      <c r="Q2" s="184"/>
      <c r="R2" s="185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7"/>
    </row>
    <row r="3" ht="54.75" customHeight="1">
      <c r="A3" s="188"/>
      <c r="B3" s="189"/>
      <c r="C3" s="189"/>
      <c r="D3" s="189"/>
      <c r="E3" s="189"/>
      <c r="F3" s="189"/>
      <c r="G3" s="190"/>
      <c r="H3" s="190"/>
      <c r="I3" s="189"/>
      <c r="J3" s="189"/>
      <c r="K3" s="189"/>
      <c r="L3" s="189"/>
      <c r="M3" s="189"/>
      <c r="N3" s="189"/>
      <c r="O3" s="189"/>
      <c r="P3" s="189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7"/>
    </row>
    <row r="4" ht="54.75" customHeight="1">
      <c r="A4" s="191"/>
      <c r="B4" t="s" s="192">
        <v>40</v>
      </c>
      <c r="C4" t="s" s="193">
        <v>75</v>
      </c>
      <c r="D4" t="s" s="193">
        <v>76</v>
      </c>
      <c r="E4" t="s" s="193">
        <v>77</v>
      </c>
      <c r="F4" t="s" s="194">
        <v>78</v>
      </c>
      <c r="G4" s="195"/>
      <c r="H4" s="196"/>
      <c r="I4" t="s" s="197">
        <v>79</v>
      </c>
      <c r="J4" s="198"/>
      <c r="K4" s="198"/>
      <c r="L4" s="198"/>
      <c r="M4" s="198"/>
      <c r="N4" s="198"/>
      <c r="O4" s="198"/>
      <c r="P4" s="199"/>
      <c r="Q4" s="195"/>
      <c r="R4" s="200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  <c r="FD4" s="186"/>
      <c r="FE4" s="186"/>
      <c r="FF4" s="186"/>
      <c r="FG4" s="186"/>
      <c r="FH4" s="186"/>
      <c r="FI4" s="186"/>
      <c r="FJ4" s="186"/>
      <c r="FK4" s="186"/>
      <c r="FL4" s="186"/>
      <c r="FM4" s="186"/>
      <c r="FN4" s="186"/>
      <c r="FO4" s="186"/>
      <c r="FP4" s="186"/>
      <c r="FQ4" s="186"/>
      <c r="FR4" s="186"/>
      <c r="FS4" s="186"/>
      <c r="FT4" s="186"/>
      <c r="FU4" s="186"/>
      <c r="FV4" s="186"/>
      <c r="FW4" s="186"/>
      <c r="FX4" s="186"/>
      <c r="FY4" s="186"/>
      <c r="FZ4" s="186"/>
      <c r="GA4" s="186"/>
      <c r="GB4" s="186"/>
      <c r="GC4" s="186"/>
      <c r="GD4" s="186"/>
      <c r="GE4" s="186"/>
      <c r="GF4" s="186"/>
      <c r="GG4" s="186"/>
      <c r="GH4" s="186"/>
      <c r="GI4" s="186"/>
      <c r="GJ4" s="186"/>
      <c r="GK4" s="186"/>
      <c r="GL4" s="186"/>
      <c r="GM4" s="186"/>
      <c r="GN4" s="186"/>
      <c r="GO4" s="186"/>
      <c r="GP4" s="186"/>
      <c r="GQ4" s="186"/>
      <c r="GR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  <c r="HL4" s="186"/>
      <c r="HM4" s="186"/>
      <c r="HN4" s="186"/>
      <c r="HO4" s="186"/>
      <c r="HP4" s="186"/>
      <c r="HQ4" s="186"/>
      <c r="HR4" s="187"/>
    </row>
    <row r="5" ht="54.75" customHeight="1">
      <c r="A5" s="191"/>
      <c r="B5" s="201" cm="1">
        <f t="array" ref="B5">'MARTES'!D31</f>
        <v>0</v>
      </c>
      <c r="C5" s="202" cm="1">
        <f t="array" ref="C5">'MARTES'!D5</f>
        <v>0</v>
      </c>
      <c r="D5" s="202" cm="1">
        <f t="array" ref="D5">'MARTES'!D8</f>
      </c>
      <c r="E5" s="202" cm="1">
        <f t="array" ref="E5">'MARTES'!D12</f>
      </c>
      <c r="F5" s="203" cm="1">
        <f t="array" ref="F5">'MARTES'!D13</f>
      </c>
      <c r="G5" s="195"/>
      <c r="H5" s="196"/>
      <c r="I5" s="204"/>
      <c r="J5" s="205"/>
      <c r="K5" s="205"/>
      <c r="L5" s="205"/>
      <c r="M5" s="205"/>
      <c r="N5" s="205"/>
      <c r="O5" s="205"/>
      <c r="P5" s="206"/>
      <c r="Q5" s="195"/>
      <c r="R5" s="200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/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/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86"/>
      <c r="GI5" s="186"/>
      <c r="GJ5" s="186"/>
      <c r="GK5" s="186"/>
      <c r="GL5" s="186"/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/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7"/>
    </row>
    <row r="6" ht="54.75" customHeight="1">
      <c r="A6" s="207"/>
      <c r="B6" s="208"/>
      <c r="C6" s="208"/>
      <c r="D6" s="208"/>
      <c r="E6" s="208"/>
      <c r="F6" s="208"/>
      <c r="G6" s="186"/>
      <c r="H6" s="186"/>
      <c r="I6" s="208"/>
      <c r="J6" s="208"/>
      <c r="K6" s="208"/>
      <c r="L6" s="208"/>
      <c r="M6" s="208"/>
      <c r="N6" s="208"/>
      <c r="O6" s="208"/>
      <c r="P6" s="208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/>
      <c r="ET6" s="186"/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/>
      <c r="HC6" s="186"/>
      <c r="HD6" s="186"/>
      <c r="HE6" s="186"/>
      <c r="HF6" s="186"/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7"/>
    </row>
    <row r="7" ht="54.75" customHeight="1">
      <c r="A7" s="191"/>
      <c r="B7" t="s" s="209">
        <v>80</v>
      </c>
      <c r="C7" s="210"/>
      <c r="D7" s="210"/>
      <c r="E7" s="210"/>
      <c r="F7" s="211"/>
      <c r="G7" s="195"/>
      <c r="H7" s="196"/>
      <c r="I7" t="s" s="209">
        <v>81</v>
      </c>
      <c r="J7" s="210"/>
      <c r="K7" s="210"/>
      <c r="L7" s="210"/>
      <c r="M7" s="210"/>
      <c r="N7" s="210"/>
      <c r="O7" s="210"/>
      <c r="P7" s="211"/>
      <c r="Q7" s="195"/>
      <c r="R7" s="212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  <c r="DM7" s="186"/>
      <c r="DN7" s="186"/>
      <c r="DO7" s="186"/>
      <c r="DP7" s="186"/>
      <c r="DQ7" s="186"/>
      <c r="DR7" s="186"/>
      <c r="DS7" s="186"/>
      <c r="DT7" s="186"/>
      <c r="DU7" s="186"/>
      <c r="DV7" s="186"/>
      <c r="DW7" s="186"/>
      <c r="DX7" s="186"/>
      <c r="DY7" s="186"/>
      <c r="DZ7" s="186"/>
      <c r="EA7" s="186"/>
      <c r="EB7" s="186"/>
      <c r="EC7" s="186"/>
      <c r="ED7" s="186"/>
      <c r="EE7" s="186"/>
      <c r="EF7" s="186"/>
      <c r="EG7" s="186"/>
      <c r="EH7" s="186"/>
      <c r="EI7" s="186"/>
      <c r="EJ7" s="186"/>
      <c r="EK7" s="186"/>
      <c r="EL7" s="186"/>
      <c r="EM7" s="186"/>
      <c r="EN7" s="186"/>
      <c r="EO7" s="186"/>
      <c r="EP7" s="186"/>
      <c r="EQ7" s="186"/>
      <c r="ER7" s="186"/>
      <c r="ES7" s="186"/>
      <c r="ET7" s="186"/>
      <c r="EU7" s="186"/>
      <c r="EV7" s="186"/>
      <c r="EW7" s="186"/>
      <c r="EX7" s="186"/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6"/>
      <c r="FS7" s="186"/>
      <c r="FT7" s="186"/>
      <c r="FU7" s="186"/>
      <c r="FV7" s="186"/>
      <c r="FW7" s="186"/>
      <c r="FX7" s="186"/>
      <c r="FY7" s="186"/>
      <c r="FZ7" s="186"/>
      <c r="GA7" s="186"/>
      <c r="GB7" s="186"/>
      <c r="GC7" s="186"/>
      <c r="GD7" s="186"/>
      <c r="GE7" s="186"/>
      <c r="GF7" s="186"/>
      <c r="GG7" s="186"/>
      <c r="GH7" s="186"/>
      <c r="GI7" s="186"/>
      <c r="GJ7" s="186"/>
      <c r="GK7" s="186"/>
      <c r="GL7" s="186"/>
      <c r="GM7" s="186"/>
      <c r="GN7" s="186"/>
      <c r="GO7" s="186"/>
      <c r="GP7" s="186"/>
      <c r="GQ7" s="186"/>
      <c r="GR7" s="186"/>
      <c r="GS7" s="186"/>
      <c r="GT7" s="186"/>
      <c r="GU7" s="186"/>
      <c r="GV7" s="186"/>
      <c r="GW7" s="186"/>
      <c r="GX7" s="186"/>
      <c r="GY7" s="186"/>
      <c r="GZ7" s="186"/>
      <c r="HA7" s="186"/>
      <c r="HB7" s="186"/>
      <c r="HC7" s="186"/>
      <c r="HD7" s="186"/>
      <c r="HE7" s="186"/>
      <c r="HF7" s="186"/>
      <c r="HG7" s="186"/>
      <c r="HH7" s="186"/>
      <c r="HI7" s="186"/>
      <c r="HJ7" s="186"/>
      <c r="HK7" s="186"/>
      <c r="HL7" s="186"/>
      <c r="HM7" s="186"/>
      <c r="HN7" s="186"/>
      <c r="HO7" s="186"/>
      <c r="HP7" s="186"/>
      <c r="HQ7" s="186"/>
      <c r="HR7" s="187"/>
    </row>
    <row r="8" ht="54.75" customHeight="1">
      <c r="A8" s="207"/>
      <c r="B8" s="213"/>
      <c r="C8" s="213"/>
      <c r="D8" s="213"/>
      <c r="E8" s="213"/>
      <c r="F8" s="213"/>
      <c r="G8" s="186"/>
      <c r="H8" s="186"/>
      <c r="I8" s="213"/>
      <c r="J8" s="213"/>
      <c r="K8" s="213"/>
      <c r="L8" s="213"/>
      <c r="M8" s="213"/>
      <c r="N8" s="213"/>
      <c r="O8" s="213"/>
      <c r="P8" s="213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  <c r="DM8" s="186"/>
      <c r="DN8" s="186"/>
      <c r="DO8" s="186"/>
      <c r="DP8" s="186"/>
      <c r="DQ8" s="186"/>
      <c r="DR8" s="186"/>
      <c r="DS8" s="186"/>
      <c r="DT8" s="186"/>
      <c r="DU8" s="186"/>
      <c r="DV8" s="186"/>
      <c r="DW8" s="186"/>
      <c r="DX8" s="186"/>
      <c r="DY8" s="186"/>
      <c r="DZ8" s="186"/>
      <c r="EA8" s="186"/>
      <c r="EB8" s="186"/>
      <c r="EC8" s="186"/>
      <c r="ED8" s="186"/>
      <c r="EE8" s="186"/>
      <c r="EF8" s="186"/>
      <c r="EG8" s="186"/>
      <c r="EH8" s="186"/>
      <c r="EI8" s="186"/>
      <c r="EJ8" s="186"/>
      <c r="EK8" s="186"/>
      <c r="EL8" s="186"/>
      <c r="EM8" s="186"/>
      <c r="EN8" s="186"/>
      <c r="EO8" s="186"/>
      <c r="EP8" s="186"/>
      <c r="EQ8" s="186"/>
      <c r="ER8" s="186"/>
      <c r="ES8" s="186"/>
      <c r="ET8" s="186"/>
      <c r="EU8" s="186"/>
      <c r="EV8" s="186"/>
      <c r="EW8" s="186"/>
      <c r="EX8" s="186"/>
      <c r="EY8" s="186"/>
      <c r="EZ8" s="186"/>
      <c r="FA8" s="186"/>
      <c r="FB8" s="186"/>
      <c r="FC8" s="186"/>
      <c r="FD8" s="186"/>
      <c r="FE8" s="186"/>
      <c r="FF8" s="186"/>
      <c r="FG8" s="186"/>
      <c r="FH8" s="186"/>
      <c r="FI8" s="186"/>
      <c r="FJ8" s="186"/>
      <c r="FK8" s="186"/>
      <c r="FL8" s="186"/>
      <c r="FM8" s="186"/>
      <c r="FN8" s="186"/>
      <c r="FO8" s="186"/>
      <c r="FP8" s="186"/>
      <c r="FQ8" s="186"/>
      <c r="FR8" s="186"/>
      <c r="FS8" s="186"/>
      <c r="FT8" s="186"/>
      <c r="FU8" s="186"/>
      <c r="FV8" s="186"/>
      <c r="FW8" s="186"/>
      <c r="FX8" s="186"/>
      <c r="FY8" s="186"/>
      <c r="FZ8" s="186"/>
      <c r="GA8" s="186"/>
      <c r="GB8" s="186"/>
      <c r="GC8" s="186"/>
      <c r="GD8" s="186"/>
      <c r="GE8" s="186"/>
      <c r="GF8" s="186"/>
      <c r="GG8" s="186"/>
      <c r="GH8" s="186"/>
      <c r="GI8" s="186"/>
      <c r="GJ8" s="186"/>
      <c r="GK8" s="186"/>
      <c r="GL8" s="186"/>
      <c r="GM8" s="186"/>
      <c r="GN8" s="186"/>
      <c r="GO8" s="186"/>
      <c r="GP8" s="186"/>
      <c r="GQ8" s="186"/>
      <c r="GR8" s="186"/>
      <c r="GS8" s="186"/>
      <c r="GT8" s="186"/>
      <c r="GU8" s="186"/>
      <c r="GV8" s="186"/>
      <c r="GW8" s="186"/>
      <c r="GX8" s="186"/>
      <c r="GY8" s="186"/>
      <c r="GZ8" s="186"/>
      <c r="HA8" s="186"/>
      <c r="HB8" s="186"/>
      <c r="HC8" s="186"/>
      <c r="HD8" s="186"/>
      <c r="HE8" s="186"/>
      <c r="HF8" s="186"/>
      <c r="HG8" s="186"/>
      <c r="HH8" s="186"/>
      <c r="HI8" s="186"/>
      <c r="HJ8" s="186"/>
      <c r="HK8" s="186"/>
      <c r="HL8" s="186"/>
      <c r="HM8" s="186"/>
      <c r="HN8" s="186"/>
      <c r="HO8" s="186"/>
      <c r="HP8" s="186"/>
      <c r="HQ8" s="186"/>
      <c r="HR8" s="187"/>
    </row>
    <row r="9" ht="54.75" customHeight="1">
      <c r="A9" s="207"/>
      <c r="B9" t="s" s="214">
        <v>82</v>
      </c>
      <c r="C9" s="215"/>
      <c r="D9" s="215"/>
      <c r="E9" s="215"/>
      <c r="F9" s="216"/>
      <c r="G9" s="186"/>
      <c r="H9" s="186"/>
      <c r="I9" t="s" s="217">
        <v>83</v>
      </c>
      <c r="J9" s="218"/>
      <c r="K9" s="218"/>
      <c r="L9" s="218"/>
      <c r="M9" s="218"/>
      <c r="N9" s="218"/>
      <c r="O9" s="218"/>
      <c r="P9" s="215"/>
      <c r="Q9" s="186"/>
      <c r="R9" s="215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7"/>
    </row>
    <row r="10" ht="54.75" customHeight="1">
      <c r="A10" s="207"/>
      <c r="B10" t="s" s="214">
        <v>84</v>
      </c>
      <c r="C10" s="215"/>
      <c r="D10" s="215"/>
      <c r="E10" s="215"/>
      <c r="F10" s="219"/>
      <c r="G10" s="186"/>
      <c r="H10" s="186"/>
      <c r="I10" t="s" s="220">
        <v>85</v>
      </c>
      <c r="J10" s="221"/>
      <c r="K10" s="221"/>
      <c r="L10" s="221"/>
      <c r="M10" s="221"/>
      <c r="N10" s="221"/>
      <c r="O10" s="221"/>
      <c r="P10" s="222"/>
      <c r="Q10" s="186"/>
      <c r="R10" s="222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  <c r="DM10" s="186"/>
      <c r="DN10" s="186"/>
      <c r="DO10" s="186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6"/>
      <c r="EP10" s="186"/>
      <c r="EQ10" s="186"/>
      <c r="ER10" s="186"/>
      <c r="ES10" s="186"/>
      <c r="ET10" s="186"/>
      <c r="EU10" s="186"/>
      <c r="EV10" s="186"/>
      <c r="EW10" s="186"/>
      <c r="EX10" s="186"/>
      <c r="EY10" s="186"/>
      <c r="EZ10" s="186"/>
      <c r="FA10" s="186"/>
      <c r="FB10" s="186"/>
      <c r="FC10" s="186"/>
      <c r="FD10" s="186"/>
      <c r="FE10" s="186"/>
      <c r="FF10" s="186"/>
      <c r="FG10" s="186"/>
      <c r="FH10" s="186"/>
      <c r="FI10" s="186"/>
      <c r="FJ10" s="186"/>
      <c r="FK10" s="186"/>
      <c r="FL10" s="186"/>
      <c r="FM10" s="186"/>
      <c r="FN10" s="186"/>
      <c r="FO10" s="186"/>
      <c r="FP10" s="186"/>
      <c r="FQ10" s="186"/>
      <c r="FR10" s="186"/>
      <c r="FS10" s="186"/>
      <c r="FT10" s="186"/>
      <c r="FU10" s="186"/>
      <c r="FV10" s="186"/>
      <c r="FW10" s="186"/>
      <c r="FX10" s="186"/>
      <c r="FY10" s="186"/>
      <c r="FZ10" s="186"/>
      <c r="GA10" s="186"/>
      <c r="GB10" s="186"/>
      <c r="GC10" s="186"/>
      <c r="GD10" s="186"/>
      <c r="GE10" s="186"/>
      <c r="GF10" s="186"/>
      <c r="GG10" s="186"/>
      <c r="GH10" s="186"/>
      <c r="GI10" s="186"/>
      <c r="GJ10" s="186"/>
      <c r="GK10" s="186"/>
      <c r="GL10" s="186"/>
      <c r="GM10" s="186"/>
      <c r="GN10" s="186"/>
      <c r="GO10" s="186"/>
      <c r="GP10" s="186"/>
      <c r="GQ10" s="186"/>
      <c r="GR10" s="186"/>
      <c r="GS10" s="186"/>
      <c r="GT10" s="186"/>
      <c r="GU10" s="186"/>
      <c r="GV10" s="186"/>
      <c r="GW10" s="186"/>
      <c r="GX10" s="186"/>
      <c r="GY10" s="186"/>
      <c r="GZ10" s="186"/>
      <c r="HA10" s="186"/>
      <c r="HB10" s="186"/>
      <c r="HC10" s="186"/>
      <c r="HD10" s="186"/>
      <c r="HE10" s="186"/>
      <c r="HF10" s="186"/>
      <c r="HG10" s="186"/>
      <c r="HH10" s="186"/>
      <c r="HI10" s="186"/>
      <c r="HJ10" s="186"/>
      <c r="HK10" s="186"/>
      <c r="HL10" s="186"/>
      <c r="HM10" s="186"/>
      <c r="HN10" s="186"/>
      <c r="HO10" s="186"/>
      <c r="HP10" s="186"/>
      <c r="HQ10" s="186"/>
      <c r="HR10" s="187"/>
    </row>
    <row r="11" ht="54.75" customHeight="1">
      <c r="A11" s="207"/>
      <c r="B11" t="s" s="214">
        <v>86</v>
      </c>
      <c r="C11" s="215"/>
      <c r="D11" s="215"/>
      <c r="E11" s="215"/>
      <c r="F11" s="219"/>
      <c r="G11" s="186"/>
      <c r="H11" s="186"/>
      <c r="I11" t="s" s="220">
        <v>87</v>
      </c>
      <c r="J11" s="221"/>
      <c r="K11" s="221"/>
      <c r="L11" s="221"/>
      <c r="M11" s="221"/>
      <c r="N11" s="221"/>
      <c r="O11" s="221"/>
      <c r="P11" s="222"/>
      <c r="Q11" s="186"/>
      <c r="R11" s="222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/>
      <c r="ER11" s="186"/>
      <c r="ES11" s="186"/>
      <c r="ET11" s="186"/>
      <c r="EU11" s="186"/>
      <c r="EV11" s="186"/>
      <c r="EW11" s="186"/>
      <c r="EX11" s="186"/>
      <c r="EY11" s="186"/>
      <c r="EZ11" s="186"/>
      <c r="FA11" s="186"/>
      <c r="FB11" s="186"/>
      <c r="FC11" s="186"/>
      <c r="FD11" s="186"/>
      <c r="FE11" s="186"/>
      <c r="FF11" s="186"/>
      <c r="FG11" s="186"/>
      <c r="FH11" s="186"/>
      <c r="FI11" s="186"/>
      <c r="FJ11" s="186"/>
      <c r="FK11" s="186"/>
      <c r="FL11" s="186"/>
      <c r="FM11" s="186"/>
      <c r="FN11" s="186"/>
      <c r="FO11" s="186"/>
      <c r="FP11" s="186"/>
      <c r="FQ11" s="186"/>
      <c r="FR11" s="186"/>
      <c r="FS11" s="186"/>
      <c r="FT11" s="186"/>
      <c r="FU11" s="186"/>
      <c r="FV11" s="186"/>
      <c r="FW11" s="186"/>
      <c r="FX11" s="186"/>
      <c r="FY11" s="186"/>
      <c r="FZ11" s="186"/>
      <c r="GA11" s="186"/>
      <c r="GB11" s="186"/>
      <c r="GC11" s="186"/>
      <c r="GD11" s="186"/>
      <c r="GE11" s="186"/>
      <c r="GF11" s="186"/>
      <c r="GG11" s="186"/>
      <c r="GH11" s="186"/>
      <c r="GI11" s="186"/>
      <c r="GJ11" s="186"/>
      <c r="GK11" s="186"/>
      <c r="GL11" s="186"/>
      <c r="GM11" s="186"/>
      <c r="GN11" s="186"/>
      <c r="GO11" s="186"/>
      <c r="GP11" s="186"/>
      <c r="GQ11" s="186"/>
      <c r="GR11" s="186"/>
      <c r="GS11" s="186"/>
      <c r="GT11" s="186"/>
      <c r="GU11" s="186"/>
      <c r="GV11" s="186"/>
      <c r="GW11" s="186"/>
      <c r="GX11" s="186"/>
      <c r="GY11" s="186"/>
      <c r="GZ11" s="186"/>
      <c r="HA11" s="186"/>
      <c r="HB11" s="186"/>
      <c r="HC11" s="186"/>
      <c r="HD11" s="186"/>
      <c r="HE11" s="186"/>
      <c r="HF11" s="186"/>
      <c r="HG11" s="186"/>
      <c r="HH11" s="186"/>
      <c r="HI11" s="186"/>
      <c r="HJ11" s="186"/>
      <c r="HK11" s="186"/>
      <c r="HL11" s="186"/>
      <c r="HM11" s="186"/>
      <c r="HN11" s="186"/>
      <c r="HO11" s="186"/>
      <c r="HP11" s="186"/>
      <c r="HQ11" s="186"/>
      <c r="HR11" s="187"/>
    </row>
    <row r="12" ht="54.75" customHeight="1">
      <c r="A12" s="207"/>
      <c r="B12" s="186"/>
      <c r="C12" s="215"/>
      <c r="D12" s="215"/>
      <c r="E12" s="215"/>
      <c r="F12" s="223"/>
      <c r="G12" s="186"/>
      <c r="H12" s="186"/>
      <c r="I12" t="s" s="220">
        <v>88</v>
      </c>
      <c r="J12" s="221"/>
      <c r="K12" s="221"/>
      <c r="L12" s="221"/>
      <c r="M12" s="221"/>
      <c r="N12" s="221"/>
      <c r="O12" s="221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87"/>
    </row>
    <row r="13" ht="54.75" customHeight="1">
      <c r="A13" s="207"/>
      <c r="B13" s="224"/>
      <c r="C13" s="224"/>
      <c r="D13" s="224"/>
      <c r="E13" s="224"/>
      <c r="F13" s="224"/>
      <c r="G13" s="186"/>
      <c r="H13" s="186"/>
      <c r="I13" s="225"/>
      <c r="J13" s="226"/>
      <c r="K13" s="226"/>
      <c r="L13" s="226"/>
      <c r="M13" s="226"/>
      <c r="N13" s="226"/>
      <c r="O13" s="226"/>
      <c r="P13" s="226"/>
      <c r="Q13" s="186"/>
      <c r="R13" s="222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6"/>
      <c r="EO13" s="186"/>
      <c r="EP13" s="186"/>
      <c r="EQ13" s="186"/>
      <c r="ER13" s="186"/>
      <c r="ES13" s="186"/>
      <c r="ET13" s="186"/>
      <c r="EU13" s="186"/>
      <c r="EV13" s="186"/>
      <c r="EW13" s="186"/>
      <c r="EX13" s="186"/>
      <c r="EY13" s="186"/>
      <c r="EZ13" s="186"/>
      <c r="FA13" s="186"/>
      <c r="FB13" s="186"/>
      <c r="FC13" s="186"/>
      <c r="FD13" s="186"/>
      <c r="FE13" s="186"/>
      <c r="FF13" s="186"/>
      <c r="FG13" s="186"/>
      <c r="FH13" s="186"/>
      <c r="FI13" s="186"/>
      <c r="FJ13" s="186"/>
      <c r="FK13" s="186"/>
      <c r="FL13" s="186"/>
      <c r="FM13" s="186"/>
      <c r="FN13" s="186"/>
      <c r="FO13" s="186"/>
      <c r="FP13" s="186"/>
      <c r="FQ13" s="186"/>
      <c r="FR13" s="186"/>
      <c r="FS13" s="186"/>
      <c r="FT13" s="186"/>
      <c r="FU13" s="186"/>
      <c r="FV13" s="186"/>
      <c r="FW13" s="186"/>
      <c r="FX13" s="186"/>
      <c r="FY13" s="186"/>
      <c r="FZ13" s="186"/>
      <c r="GA13" s="186"/>
      <c r="GB13" s="186"/>
      <c r="GC13" s="186"/>
      <c r="GD13" s="186"/>
      <c r="GE13" s="186"/>
      <c r="GF13" s="186"/>
      <c r="GG13" s="186"/>
      <c r="GH13" s="186"/>
      <c r="GI13" s="186"/>
      <c r="GJ13" s="186"/>
      <c r="GK13" s="186"/>
      <c r="GL13" s="186"/>
      <c r="GM13" s="186"/>
      <c r="GN13" s="186"/>
      <c r="GO13" s="186"/>
      <c r="GP13" s="186"/>
      <c r="GQ13" s="186"/>
      <c r="GR13" s="186"/>
      <c r="GS13" s="186"/>
      <c r="GT13" s="186"/>
      <c r="GU13" s="186"/>
      <c r="GV13" s="186"/>
      <c r="GW13" s="186"/>
      <c r="GX13" s="186"/>
      <c r="GY13" s="186"/>
      <c r="GZ13" s="186"/>
      <c r="HA13" s="186"/>
      <c r="HB13" s="186"/>
      <c r="HC13" s="186"/>
      <c r="HD13" s="186"/>
      <c r="HE13" s="186"/>
      <c r="HF13" s="186"/>
      <c r="HG13" s="186"/>
      <c r="HH13" s="186"/>
      <c r="HI13" s="186"/>
      <c r="HJ13" s="186"/>
      <c r="HK13" s="186"/>
      <c r="HL13" s="186"/>
      <c r="HM13" s="186"/>
      <c r="HN13" s="186"/>
      <c r="HO13" s="186"/>
      <c r="HP13" s="186"/>
      <c r="HQ13" s="186"/>
      <c r="HR13" s="187"/>
    </row>
    <row r="14" ht="54.75" customHeight="1">
      <c r="A14" s="191"/>
      <c r="B14" t="s" s="209">
        <v>89</v>
      </c>
      <c r="C14" s="210"/>
      <c r="D14" s="210"/>
      <c r="E14" s="210"/>
      <c r="F14" s="211"/>
      <c r="G14" s="195"/>
      <c r="H14" s="227"/>
      <c r="I14" t="s" s="228">
        <v>90</v>
      </c>
      <c r="J14" s="229"/>
      <c r="K14" s="229"/>
      <c r="L14" s="229"/>
      <c r="M14" s="229"/>
      <c r="N14" s="229"/>
      <c r="O14" s="229"/>
      <c r="P14" s="230"/>
      <c r="Q14" s="231"/>
      <c r="R14" s="222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/>
      <c r="EQ14" s="186"/>
      <c r="ER14" s="186"/>
      <c r="ES14" s="186"/>
      <c r="ET14" s="186"/>
      <c r="EU14" s="186"/>
      <c r="EV14" s="186"/>
      <c r="EW14" s="186"/>
      <c r="EX14" s="186"/>
      <c r="EY14" s="186"/>
      <c r="EZ14" s="186"/>
      <c r="FA14" s="186"/>
      <c r="FB14" s="186"/>
      <c r="FC14" s="186"/>
      <c r="FD14" s="186"/>
      <c r="FE14" s="186"/>
      <c r="FF14" s="186"/>
      <c r="FG14" s="186"/>
      <c r="FH14" s="186"/>
      <c r="FI14" s="186"/>
      <c r="FJ14" s="186"/>
      <c r="FK14" s="186"/>
      <c r="FL14" s="186"/>
      <c r="FM14" s="186"/>
      <c r="FN14" s="186"/>
      <c r="FO14" s="186"/>
      <c r="FP14" s="186"/>
      <c r="FQ14" s="186"/>
      <c r="FR14" s="186"/>
      <c r="FS14" s="186"/>
      <c r="FT14" s="186"/>
      <c r="FU14" s="186"/>
      <c r="FV14" s="186"/>
      <c r="FW14" s="186"/>
      <c r="FX14" s="186"/>
      <c r="FY14" s="186"/>
      <c r="FZ14" s="186"/>
      <c r="GA14" s="186"/>
      <c r="GB14" s="186"/>
      <c r="GC14" s="186"/>
      <c r="GD14" s="186"/>
      <c r="GE14" s="186"/>
      <c r="GF14" s="186"/>
      <c r="GG14" s="186"/>
      <c r="GH14" s="186"/>
      <c r="GI14" s="186"/>
      <c r="GJ14" s="186"/>
      <c r="GK14" s="186"/>
      <c r="GL14" s="186"/>
      <c r="GM14" s="186"/>
      <c r="GN14" s="186"/>
      <c r="GO14" s="186"/>
      <c r="GP14" s="186"/>
      <c r="GQ14" s="186"/>
      <c r="GR14" s="186"/>
      <c r="GS14" s="186"/>
      <c r="GT14" s="186"/>
      <c r="GU14" s="186"/>
      <c r="GV14" s="186"/>
      <c r="GW14" s="186"/>
      <c r="GX14" s="186"/>
      <c r="GY14" s="186"/>
      <c r="GZ14" s="186"/>
      <c r="HA14" s="186"/>
      <c r="HB14" s="186"/>
      <c r="HC14" s="186"/>
      <c r="HD14" s="186"/>
      <c r="HE14" s="186"/>
      <c r="HF14" s="186"/>
      <c r="HG14" s="186"/>
      <c r="HH14" s="186"/>
      <c r="HI14" s="186"/>
      <c r="HJ14" s="186"/>
      <c r="HK14" s="186"/>
      <c r="HL14" s="186"/>
      <c r="HM14" s="186"/>
      <c r="HN14" s="186"/>
      <c r="HO14" s="186"/>
      <c r="HP14" s="186"/>
      <c r="HQ14" s="186"/>
      <c r="HR14" s="187"/>
    </row>
    <row r="15" ht="54.75" customHeight="1">
      <c r="A15" s="207"/>
      <c r="B15" s="213"/>
      <c r="C15" s="213"/>
      <c r="D15" s="213"/>
      <c r="E15" s="213"/>
      <c r="F15" s="213"/>
      <c r="G15" s="186"/>
      <c r="H15" s="186"/>
      <c r="I15" s="190"/>
      <c r="J15" s="190"/>
      <c r="K15" s="190"/>
      <c r="L15" s="190"/>
      <c r="M15" s="190"/>
      <c r="N15" s="190"/>
      <c r="O15" s="190"/>
      <c r="P15" s="190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7"/>
    </row>
    <row r="16" ht="54.75" customHeight="1">
      <c r="A16" s="207"/>
      <c r="B16" t="s" s="220">
        <v>91</v>
      </c>
      <c r="C16" s="221"/>
      <c r="D16" s="221"/>
      <c r="E16" s="221"/>
      <c r="F16" s="232"/>
      <c r="G16" s="212"/>
      <c r="H16" s="186"/>
      <c r="I16" t="s" s="233">
        <v>92</v>
      </c>
      <c r="J16" s="234"/>
      <c r="K16" s="235"/>
      <c r="L16" t="s" s="233">
        <v>93</v>
      </c>
      <c r="M16" s="234"/>
      <c r="N16" s="235"/>
      <c r="O16" t="s" s="233">
        <v>94</v>
      </c>
      <c r="P16" s="234"/>
      <c r="Q16" s="186"/>
      <c r="R16" s="234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6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/>
      <c r="EB16" s="186"/>
      <c r="EC16" s="186"/>
      <c r="ED16" s="186"/>
      <c r="EE16" s="186"/>
      <c r="EF16" s="186"/>
      <c r="EG16" s="186"/>
      <c r="EH16" s="186"/>
      <c r="EI16" s="186"/>
      <c r="EJ16" s="186"/>
      <c r="EK16" s="186"/>
      <c r="EL16" s="186"/>
      <c r="EM16" s="186"/>
      <c r="EN16" s="186"/>
      <c r="EO16" s="186"/>
      <c r="EP16" s="186"/>
      <c r="EQ16" s="186"/>
      <c r="ER16" s="186"/>
      <c r="ES16" s="186"/>
      <c r="ET16" s="186"/>
      <c r="EU16" s="186"/>
      <c r="EV16" s="186"/>
      <c r="EW16" s="186"/>
      <c r="EX16" s="186"/>
      <c r="EY16" s="186"/>
      <c r="EZ16" s="186"/>
      <c r="FA16" s="186"/>
      <c r="FB16" s="186"/>
      <c r="FC16" s="186"/>
      <c r="FD16" s="186"/>
      <c r="FE16" s="186"/>
      <c r="FF16" s="186"/>
      <c r="FG16" s="186"/>
      <c r="FH16" s="186"/>
      <c r="FI16" s="186"/>
      <c r="FJ16" s="186"/>
      <c r="FK16" s="186"/>
      <c r="FL16" s="186"/>
      <c r="FM16" s="186"/>
      <c r="FN16" s="186"/>
      <c r="FO16" s="186"/>
      <c r="FP16" s="186"/>
      <c r="FQ16" s="186"/>
      <c r="FR16" s="186"/>
      <c r="FS16" s="186"/>
      <c r="FT16" s="186"/>
      <c r="FU16" s="186"/>
      <c r="FV16" s="186"/>
      <c r="FW16" s="186"/>
      <c r="FX16" s="186"/>
      <c r="FY16" s="186"/>
      <c r="FZ16" s="186"/>
      <c r="GA16" s="186"/>
      <c r="GB16" s="186"/>
      <c r="GC16" s="186"/>
      <c r="GD16" s="186"/>
      <c r="GE16" s="186"/>
      <c r="GF16" s="186"/>
      <c r="GG16" s="186"/>
      <c r="GH16" s="186"/>
      <c r="GI16" s="186"/>
      <c r="GJ16" s="186"/>
      <c r="GK16" s="186"/>
      <c r="GL16" s="186"/>
      <c r="GM16" s="186"/>
      <c r="GN16" s="186"/>
      <c r="GO16" s="186"/>
      <c r="GP16" s="186"/>
      <c r="GQ16" s="186"/>
      <c r="GR16" s="186"/>
      <c r="GS16" s="186"/>
      <c r="GT16" s="186"/>
      <c r="GU16" s="186"/>
      <c r="GV16" s="186"/>
      <c r="GW16" s="186"/>
      <c r="GX16" s="186"/>
      <c r="GY16" s="186"/>
      <c r="GZ16" s="186"/>
      <c r="HA16" s="186"/>
      <c r="HB16" s="186"/>
      <c r="HC16" s="186"/>
      <c r="HD16" s="186"/>
      <c r="HE16" s="186"/>
      <c r="HF16" s="186"/>
      <c r="HG16" s="186"/>
      <c r="HH16" s="186"/>
      <c r="HI16" s="186"/>
      <c r="HJ16" s="186"/>
      <c r="HK16" s="186"/>
      <c r="HL16" s="186"/>
      <c r="HM16" s="186"/>
      <c r="HN16" s="186"/>
      <c r="HO16" s="186"/>
      <c r="HP16" s="186"/>
      <c r="HQ16" s="186"/>
      <c r="HR16" s="187"/>
    </row>
    <row r="17" ht="54.75" customHeight="1">
      <c r="A17" s="207"/>
      <c r="B17" t="s" s="220">
        <v>95</v>
      </c>
      <c r="C17" s="221"/>
      <c r="D17" s="221"/>
      <c r="E17" s="221"/>
      <c r="F17" s="232"/>
      <c r="G17" s="212"/>
      <c r="H17" s="186"/>
      <c r="I17" t="s" s="233">
        <v>96</v>
      </c>
      <c r="J17" s="234"/>
      <c r="K17" s="234"/>
      <c r="L17" t="s" s="233">
        <v>97</v>
      </c>
      <c r="M17" s="234"/>
      <c r="N17" s="234"/>
      <c r="O17" t="s" s="233">
        <v>98</v>
      </c>
      <c r="P17" s="234"/>
      <c r="Q17" s="186"/>
      <c r="R17" s="234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  <c r="DM17" s="186"/>
      <c r="DN17" s="186"/>
      <c r="DO17" s="186"/>
      <c r="DP17" s="186"/>
      <c r="DQ17" s="186"/>
      <c r="DR17" s="186"/>
      <c r="DS17" s="186"/>
      <c r="DT17" s="186"/>
      <c r="DU17" s="186"/>
      <c r="DV17" s="186"/>
      <c r="DW17" s="186"/>
      <c r="DX17" s="186"/>
      <c r="DY17" s="186"/>
      <c r="DZ17" s="186"/>
      <c r="EA17" s="186"/>
      <c r="EB17" s="186"/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186"/>
      <c r="EU17" s="186"/>
      <c r="EV17" s="186"/>
      <c r="EW17" s="186"/>
      <c r="EX17" s="186"/>
      <c r="EY17" s="186"/>
      <c r="EZ17" s="186"/>
      <c r="FA17" s="186"/>
      <c r="FB17" s="186"/>
      <c r="FC17" s="186"/>
      <c r="FD17" s="186"/>
      <c r="FE17" s="186"/>
      <c r="FF17" s="186"/>
      <c r="FG17" s="186"/>
      <c r="FH17" s="186"/>
      <c r="FI17" s="186"/>
      <c r="FJ17" s="186"/>
      <c r="FK17" s="186"/>
      <c r="FL17" s="186"/>
      <c r="FM17" s="186"/>
      <c r="FN17" s="186"/>
      <c r="FO17" s="186"/>
      <c r="FP17" s="186"/>
      <c r="FQ17" s="186"/>
      <c r="FR17" s="186"/>
      <c r="FS17" s="186"/>
      <c r="FT17" s="186"/>
      <c r="FU17" s="186"/>
      <c r="FV17" s="186"/>
      <c r="FW17" s="186"/>
      <c r="FX17" s="186"/>
      <c r="FY17" s="186"/>
      <c r="FZ17" s="186"/>
      <c r="GA17" s="186"/>
      <c r="GB17" s="186"/>
      <c r="GC17" s="186"/>
      <c r="GD17" s="186"/>
      <c r="GE17" s="186"/>
      <c r="GF17" s="186"/>
      <c r="GG17" s="186"/>
      <c r="GH17" s="186"/>
      <c r="GI17" s="186"/>
      <c r="GJ17" s="186"/>
      <c r="GK17" s="186"/>
      <c r="GL17" s="186"/>
      <c r="GM17" s="186"/>
      <c r="GN17" s="186"/>
      <c r="GO17" s="186"/>
      <c r="GP17" s="186"/>
      <c r="GQ17" s="186"/>
      <c r="GR17" s="186"/>
      <c r="GS17" s="186"/>
      <c r="GT17" s="186"/>
      <c r="GU17" s="186"/>
      <c r="GV17" s="186"/>
      <c r="GW17" s="186"/>
      <c r="GX17" s="186"/>
      <c r="GY17" s="186"/>
      <c r="GZ17" s="186"/>
      <c r="HA17" s="186"/>
      <c r="HB17" s="186"/>
      <c r="HC17" s="186"/>
      <c r="HD17" s="186"/>
      <c r="HE17" s="186"/>
      <c r="HF17" s="186"/>
      <c r="HG17" s="186"/>
      <c r="HH17" s="186"/>
      <c r="HI17" s="186"/>
      <c r="HJ17" s="186"/>
      <c r="HK17" s="186"/>
      <c r="HL17" s="186"/>
      <c r="HM17" s="186"/>
      <c r="HN17" s="186"/>
      <c r="HO17" s="186"/>
      <c r="HP17" s="186"/>
      <c r="HQ17" s="186"/>
      <c r="HR17" s="187"/>
    </row>
    <row r="18" ht="54.75" customHeight="1">
      <c r="A18" s="207"/>
      <c r="B18" t="s" s="220">
        <v>99</v>
      </c>
      <c r="C18" s="221"/>
      <c r="D18" s="221"/>
      <c r="E18" s="221"/>
      <c r="F18" s="232"/>
      <c r="G18" s="186"/>
      <c r="H18" s="186"/>
      <c r="I18" t="s" s="214">
        <v>100</v>
      </c>
      <c r="J18" s="215"/>
      <c r="K18" s="236"/>
      <c r="L18" t="s" s="214">
        <v>101</v>
      </c>
      <c r="M18" s="215"/>
      <c r="N18" s="236"/>
      <c r="O18" t="s" s="214">
        <v>102</v>
      </c>
      <c r="P18" s="215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  <c r="DM18" s="186"/>
      <c r="DN18" s="186"/>
      <c r="DO18" s="186"/>
      <c r="DP18" s="186"/>
      <c r="DQ18" s="186"/>
      <c r="DR18" s="186"/>
      <c r="DS18" s="186"/>
      <c r="DT18" s="186"/>
      <c r="DU18" s="186"/>
      <c r="DV18" s="186"/>
      <c r="DW18" s="186"/>
      <c r="DX18" s="186"/>
      <c r="DY18" s="186"/>
      <c r="DZ18" s="186"/>
      <c r="EA18" s="186"/>
      <c r="EB18" s="186"/>
      <c r="EC18" s="186"/>
      <c r="ED18" s="186"/>
      <c r="EE18" s="186"/>
      <c r="EF18" s="186"/>
      <c r="EG18" s="186"/>
      <c r="EH18" s="186"/>
      <c r="EI18" s="186"/>
      <c r="EJ18" s="186"/>
      <c r="EK18" s="186"/>
      <c r="EL18" s="186"/>
      <c r="EM18" s="186"/>
      <c r="EN18" s="186"/>
      <c r="EO18" s="186"/>
      <c r="EP18" s="186"/>
      <c r="EQ18" s="186"/>
      <c r="ER18" s="186"/>
      <c r="ES18" s="186"/>
      <c r="ET18" s="186"/>
      <c r="EU18" s="186"/>
      <c r="EV18" s="186"/>
      <c r="EW18" s="186"/>
      <c r="EX18" s="186"/>
      <c r="EY18" s="186"/>
      <c r="EZ18" s="186"/>
      <c r="FA18" s="186"/>
      <c r="FB18" s="186"/>
      <c r="FC18" s="186"/>
      <c r="FD18" s="186"/>
      <c r="FE18" s="186"/>
      <c r="FF18" s="186"/>
      <c r="FG18" s="186"/>
      <c r="FH18" s="186"/>
      <c r="FI18" s="186"/>
      <c r="FJ18" s="186"/>
      <c r="FK18" s="186"/>
      <c r="FL18" s="186"/>
      <c r="FM18" s="186"/>
      <c r="FN18" s="186"/>
      <c r="FO18" s="186"/>
      <c r="FP18" s="186"/>
      <c r="FQ18" s="186"/>
      <c r="FR18" s="186"/>
      <c r="FS18" s="186"/>
      <c r="FT18" s="186"/>
      <c r="FU18" s="186"/>
      <c r="FV18" s="186"/>
      <c r="FW18" s="186"/>
      <c r="FX18" s="186"/>
      <c r="FY18" s="186"/>
      <c r="FZ18" s="186"/>
      <c r="GA18" s="186"/>
      <c r="GB18" s="186"/>
      <c r="GC18" s="186"/>
      <c r="GD18" s="186"/>
      <c r="GE18" s="186"/>
      <c r="GF18" s="186"/>
      <c r="GG18" s="186"/>
      <c r="GH18" s="186"/>
      <c r="GI18" s="186"/>
      <c r="GJ18" s="186"/>
      <c r="GK18" s="186"/>
      <c r="GL18" s="186"/>
      <c r="GM18" s="186"/>
      <c r="GN18" s="186"/>
      <c r="GO18" s="186"/>
      <c r="GP18" s="186"/>
      <c r="GQ18" s="186"/>
      <c r="GR18" s="186"/>
      <c r="GS18" s="186"/>
      <c r="GT18" s="186"/>
      <c r="GU18" s="186"/>
      <c r="GV18" s="186"/>
      <c r="GW18" s="186"/>
      <c r="GX18" s="186"/>
      <c r="GY18" s="186"/>
      <c r="GZ18" s="186"/>
      <c r="HA18" s="186"/>
      <c r="HB18" s="186"/>
      <c r="HC18" s="186"/>
      <c r="HD18" s="186"/>
      <c r="HE18" s="186"/>
      <c r="HF18" s="186"/>
      <c r="HG18" s="186"/>
      <c r="HH18" s="186"/>
      <c r="HI18" s="186"/>
      <c r="HJ18" s="186"/>
      <c r="HK18" s="186"/>
      <c r="HL18" s="186"/>
      <c r="HM18" s="186"/>
      <c r="HN18" s="186"/>
      <c r="HO18" s="186"/>
      <c r="HP18" s="186"/>
      <c r="HQ18" s="186"/>
      <c r="HR18" s="187"/>
    </row>
    <row r="19" ht="54.75" customHeight="1">
      <c r="A19" s="207"/>
      <c r="B19" t="s" s="220">
        <v>103</v>
      </c>
      <c r="C19" s="221"/>
      <c r="D19" s="221"/>
      <c r="E19" s="221"/>
      <c r="F19" s="237"/>
      <c r="G19" s="186"/>
      <c r="H19" s="186"/>
      <c r="I19" t="s" s="214">
        <v>104</v>
      </c>
      <c r="J19" s="215"/>
      <c r="K19" s="236"/>
      <c r="L19" t="s" s="214">
        <v>105</v>
      </c>
      <c r="M19" s="215"/>
      <c r="N19" s="236"/>
      <c r="O19" t="s" s="214">
        <v>106</v>
      </c>
      <c r="P19" s="215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  <c r="DM19" s="186"/>
      <c r="DN19" s="186"/>
      <c r="DO19" s="186"/>
      <c r="DP19" s="186"/>
      <c r="DQ19" s="186"/>
      <c r="DR19" s="186"/>
      <c r="DS19" s="186"/>
      <c r="DT19" s="186"/>
      <c r="DU19" s="186"/>
      <c r="DV19" s="186"/>
      <c r="DW19" s="186"/>
      <c r="DX19" s="186"/>
      <c r="DY19" s="186"/>
      <c r="DZ19" s="186"/>
      <c r="EA19" s="186"/>
      <c r="EB19" s="186"/>
      <c r="EC19" s="186"/>
      <c r="ED19" s="186"/>
      <c r="EE19" s="186"/>
      <c r="EF19" s="186"/>
      <c r="EG19" s="186"/>
      <c r="EH19" s="186"/>
      <c r="EI19" s="186"/>
      <c r="EJ19" s="186"/>
      <c r="EK19" s="186"/>
      <c r="EL19" s="186"/>
      <c r="EM19" s="186"/>
      <c r="EN19" s="186"/>
      <c r="EO19" s="186"/>
      <c r="EP19" s="186"/>
      <c r="EQ19" s="186"/>
      <c r="ER19" s="186"/>
      <c r="ES19" s="186"/>
      <c r="ET19" s="186"/>
      <c r="EU19" s="186"/>
      <c r="EV19" s="186"/>
      <c r="EW19" s="186"/>
      <c r="EX19" s="186"/>
      <c r="EY19" s="186"/>
      <c r="EZ19" s="186"/>
      <c r="FA19" s="186"/>
      <c r="FB19" s="186"/>
      <c r="FC19" s="186"/>
      <c r="FD19" s="186"/>
      <c r="FE19" s="186"/>
      <c r="FF19" s="186"/>
      <c r="FG19" s="186"/>
      <c r="FH19" s="186"/>
      <c r="FI19" s="186"/>
      <c r="FJ19" s="186"/>
      <c r="FK19" s="186"/>
      <c r="FL19" s="186"/>
      <c r="FM19" s="186"/>
      <c r="FN19" s="186"/>
      <c r="FO19" s="186"/>
      <c r="FP19" s="186"/>
      <c r="FQ19" s="186"/>
      <c r="FR19" s="186"/>
      <c r="FS19" s="186"/>
      <c r="FT19" s="186"/>
      <c r="FU19" s="186"/>
      <c r="FV19" s="186"/>
      <c r="FW19" s="186"/>
      <c r="FX19" s="186"/>
      <c r="FY19" s="186"/>
      <c r="FZ19" s="186"/>
      <c r="GA19" s="186"/>
      <c r="GB19" s="186"/>
      <c r="GC19" s="186"/>
      <c r="GD19" s="186"/>
      <c r="GE19" s="186"/>
      <c r="GF19" s="186"/>
      <c r="GG19" s="186"/>
      <c r="GH19" s="186"/>
      <c r="GI19" s="186"/>
      <c r="GJ19" s="186"/>
      <c r="GK19" s="186"/>
      <c r="GL19" s="186"/>
      <c r="GM19" s="186"/>
      <c r="GN19" s="186"/>
      <c r="GO19" s="186"/>
      <c r="GP19" s="186"/>
      <c r="GQ19" s="186"/>
      <c r="GR19" s="186"/>
      <c r="GS19" s="186"/>
      <c r="GT19" s="186"/>
      <c r="GU19" s="186"/>
      <c r="GV19" s="186"/>
      <c r="GW19" s="186"/>
      <c r="GX19" s="186"/>
      <c r="GY19" s="186"/>
      <c r="GZ19" s="186"/>
      <c r="HA19" s="186"/>
      <c r="HB19" s="186"/>
      <c r="HC19" s="186"/>
      <c r="HD19" s="186"/>
      <c r="HE19" s="186"/>
      <c r="HF19" s="186"/>
      <c r="HG19" s="186"/>
      <c r="HH19" s="186"/>
      <c r="HI19" s="186"/>
      <c r="HJ19" s="186"/>
      <c r="HK19" s="186"/>
      <c r="HL19" s="186"/>
      <c r="HM19" s="186"/>
      <c r="HN19" s="186"/>
      <c r="HO19" s="186"/>
      <c r="HP19" s="186"/>
      <c r="HQ19" s="186"/>
      <c r="HR19" s="187"/>
    </row>
    <row r="20" ht="54.75" customHeight="1">
      <c r="A20" s="207"/>
      <c r="B20" t="s" s="220">
        <v>107</v>
      </c>
      <c r="C20" s="221"/>
      <c r="D20" s="221"/>
      <c r="E20" s="221"/>
      <c r="F20" s="232"/>
      <c r="G20" s="186"/>
      <c r="H20" s="186"/>
      <c r="I20" t="s" s="214">
        <v>108</v>
      </c>
      <c r="J20" s="215"/>
      <c r="K20" s="236"/>
      <c r="L20" t="s" s="214">
        <v>109</v>
      </c>
      <c r="M20" s="215"/>
      <c r="N20" s="236"/>
      <c r="O20" t="s" s="214">
        <v>110</v>
      </c>
      <c r="P20" s="215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  <c r="DM20" s="186"/>
      <c r="DN20" s="186"/>
      <c r="DO20" s="186"/>
      <c r="DP20" s="186"/>
      <c r="DQ20" s="186"/>
      <c r="DR20" s="186"/>
      <c r="DS20" s="186"/>
      <c r="DT20" s="186"/>
      <c r="DU20" s="186"/>
      <c r="DV20" s="186"/>
      <c r="DW20" s="186"/>
      <c r="DX20" s="186"/>
      <c r="DY20" s="186"/>
      <c r="DZ20" s="186"/>
      <c r="EA20" s="186"/>
      <c r="EB20" s="186"/>
      <c r="EC20" s="186"/>
      <c r="ED20" s="186"/>
      <c r="EE20" s="186"/>
      <c r="EF20" s="186"/>
      <c r="EG20" s="186"/>
      <c r="EH20" s="186"/>
      <c r="EI20" s="186"/>
      <c r="EJ20" s="186"/>
      <c r="EK20" s="186"/>
      <c r="EL20" s="186"/>
      <c r="EM20" s="186"/>
      <c r="EN20" s="186"/>
      <c r="EO20" s="186"/>
      <c r="EP20" s="186"/>
      <c r="EQ20" s="186"/>
      <c r="ER20" s="186"/>
      <c r="ES20" s="186"/>
      <c r="ET20" s="186"/>
      <c r="EU20" s="186"/>
      <c r="EV20" s="186"/>
      <c r="EW20" s="186"/>
      <c r="EX20" s="186"/>
      <c r="EY20" s="186"/>
      <c r="EZ20" s="186"/>
      <c r="FA20" s="186"/>
      <c r="FB20" s="186"/>
      <c r="FC20" s="186"/>
      <c r="FD20" s="186"/>
      <c r="FE20" s="186"/>
      <c r="FF20" s="186"/>
      <c r="FG20" s="186"/>
      <c r="FH20" s="186"/>
      <c r="FI20" s="186"/>
      <c r="FJ20" s="186"/>
      <c r="FK20" s="186"/>
      <c r="FL20" s="186"/>
      <c r="FM20" s="186"/>
      <c r="FN20" s="186"/>
      <c r="FO20" s="186"/>
      <c r="FP20" s="186"/>
      <c r="FQ20" s="186"/>
      <c r="FR20" s="186"/>
      <c r="FS20" s="186"/>
      <c r="FT20" s="186"/>
      <c r="FU20" s="186"/>
      <c r="FV20" s="186"/>
      <c r="FW20" s="186"/>
      <c r="FX20" s="186"/>
      <c r="FY20" s="186"/>
      <c r="FZ20" s="186"/>
      <c r="GA20" s="186"/>
      <c r="GB20" s="186"/>
      <c r="GC20" s="186"/>
      <c r="GD20" s="186"/>
      <c r="GE20" s="186"/>
      <c r="GF20" s="186"/>
      <c r="GG20" s="186"/>
      <c r="GH20" s="186"/>
      <c r="GI20" s="186"/>
      <c r="GJ20" s="186"/>
      <c r="GK20" s="186"/>
      <c r="GL20" s="186"/>
      <c r="GM20" s="186"/>
      <c r="GN20" s="186"/>
      <c r="GO20" s="186"/>
      <c r="GP20" s="186"/>
      <c r="GQ20" s="186"/>
      <c r="GR20" s="186"/>
      <c r="GS20" s="186"/>
      <c r="GT20" s="186"/>
      <c r="GU20" s="186"/>
      <c r="GV20" s="186"/>
      <c r="GW20" s="186"/>
      <c r="GX20" s="186"/>
      <c r="GY20" s="186"/>
      <c r="GZ20" s="186"/>
      <c r="HA20" s="186"/>
      <c r="HB20" s="186"/>
      <c r="HC20" s="186"/>
      <c r="HD20" s="186"/>
      <c r="HE20" s="186"/>
      <c r="HF20" s="186"/>
      <c r="HG20" s="186"/>
      <c r="HH20" s="186"/>
      <c r="HI20" s="186"/>
      <c r="HJ20" s="186"/>
      <c r="HK20" s="186"/>
      <c r="HL20" s="186"/>
      <c r="HM20" s="186"/>
      <c r="HN20" s="186"/>
      <c r="HO20" s="186"/>
      <c r="HP20" s="186"/>
      <c r="HQ20" s="186"/>
      <c r="HR20" s="187"/>
    </row>
    <row r="21" ht="54.75" customHeight="1">
      <c r="A21" s="207"/>
      <c r="B21" s="186"/>
      <c r="C21" s="186"/>
      <c r="D21" s="186"/>
      <c r="E21" s="186"/>
      <c r="F21" s="186"/>
      <c r="G21" s="186"/>
      <c r="H21" s="186"/>
      <c r="I21" t="s" s="214">
        <v>111</v>
      </c>
      <c r="J21" s="215"/>
      <c r="K21" s="236"/>
      <c r="L21" t="s" s="214">
        <v>112</v>
      </c>
      <c r="M21" s="215"/>
      <c r="N21" s="236"/>
      <c r="O21" t="s" s="214">
        <v>113</v>
      </c>
      <c r="P21" s="215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  <c r="EY21" s="186"/>
      <c r="EZ21" s="186"/>
      <c r="FA21" s="186"/>
      <c r="FB21" s="186"/>
      <c r="FC21" s="186"/>
      <c r="FD21" s="186"/>
      <c r="FE21" s="186"/>
      <c r="FF21" s="186"/>
      <c r="FG21" s="186"/>
      <c r="FH21" s="186"/>
      <c r="FI21" s="186"/>
      <c r="FJ21" s="186"/>
      <c r="FK21" s="186"/>
      <c r="FL21" s="186"/>
      <c r="FM21" s="186"/>
      <c r="FN21" s="186"/>
      <c r="FO21" s="186"/>
      <c r="FP21" s="186"/>
      <c r="FQ21" s="186"/>
      <c r="FR21" s="186"/>
      <c r="FS21" s="186"/>
      <c r="FT21" s="186"/>
      <c r="FU21" s="186"/>
      <c r="FV21" s="186"/>
      <c r="FW21" s="186"/>
      <c r="FX21" s="186"/>
      <c r="FY21" s="186"/>
      <c r="FZ21" s="186"/>
      <c r="GA21" s="186"/>
      <c r="GB21" s="186"/>
      <c r="GC21" s="186"/>
      <c r="GD21" s="186"/>
      <c r="GE21" s="186"/>
      <c r="GF21" s="186"/>
      <c r="GG21" s="186"/>
      <c r="GH21" s="186"/>
      <c r="GI21" s="186"/>
      <c r="GJ21" s="186"/>
      <c r="GK21" s="186"/>
      <c r="GL21" s="186"/>
      <c r="GM21" s="186"/>
      <c r="GN21" s="186"/>
      <c r="GO21" s="186"/>
      <c r="GP21" s="186"/>
      <c r="GQ21" s="186"/>
      <c r="GR21" s="186"/>
      <c r="GS21" s="186"/>
      <c r="GT21" s="186"/>
      <c r="GU21" s="186"/>
      <c r="GV21" s="186"/>
      <c r="GW21" s="186"/>
      <c r="GX21" s="186"/>
      <c r="GY21" s="186"/>
      <c r="GZ21" s="186"/>
      <c r="HA21" s="186"/>
      <c r="HB21" s="186"/>
      <c r="HC21" s="186"/>
      <c r="HD21" s="186"/>
      <c r="HE21" s="186"/>
      <c r="HF21" s="186"/>
      <c r="HG21" s="186"/>
      <c r="HH21" s="186"/>
      <c r="HI21" s="186"/>
      <c r="HJ21" s="186"/>
      <c r="HK21" s="186"/>
      <c r="HL21" s="186"/>
      <c r="HM21" s="186"/>
      <c r="HN21" s="186"/>
      <c r="HO21" s="186"/>
      <c r="HP21" s="186"/>
      <c r="HQ21" s="186"/>
      <c r="HR21" s="187"/>
    </row>
    <row r="22" ht="54.75" customHeight="1">
      <c r="A22" s="207"/>
      <c r="B22" s="186"/>
      <c r="C22" s="186"/>
      <c r="D22" s="186"/>
      <c r="E22" s="186"/>
      <c r="F22" s="186"/>
      <c r="G22" s="186"/>
      <c r="H22" s="186"/>
      <c r="I22" t="s" s="214">
        <v>114</v>
      </c>
      <c r="J22" s="215"/>
      <c r="K22" s="236"/>
      <c r="L22" t="s" s="214">
        <v>115</v>
      </c>
      <c r="M22" s="215"/>
      <c r="N22" s="238"/>
      <c r="O22" t="s" s="214">
        <v>116</v>
      </c>
      <c r="P22" s="215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  <c r="DM22" s="186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186"/>
      <c r="EU22" s="186"/>
      <c r="EV22" s="186"/>
      <c r="EW22" s="186"/>
      <c r="EX22" s="186"/>
      <c r="EY22" s="186"/>
      <c r="EZ22" s="186"/>
      <c r="FA22" s="186"/>
      <c r="FB22" s="186"/>
      <c r="FC22" s="186"/>
      <c r="FD22" s="186"/>
      <c r="FE22" s="186"/>
      <c r="FF22" s="186"/>
      <c r="FG22" s="186"/>
      <c r="FH22" s="186"/>
      <c r="FI22" s="186"/>
      <c r="FJ22" s="186"/>
      <c r="FK22" s="186"/>
      <c r="FL22" s="186"/>
      <c r="FM22" s="186"/>
      <c r="FN22" s="186"/>
      <c r="FO22" s="186"/>
      <c r="FP22" s="186"/>
      <c r="FQ22" s="186"/>
      <c r="FR22" s="186"/>
      <c r="FS22" s="186"/>
      <c r="FT22" s="186"/>
      <c r="FU22" s="186"/>
      <c r="FV22" s="186"/>
      <c r="FW22" s="186"/>
      <c r="FX22" s="186"/>
      <c r="FY22" s="186"/>
      <c r="FZ22" s="186"/>
      <c r="GA22" s="186"/>
      <c r="GB22" s="186"/>
      <c r="GC22" s="186"/>
      <c r="GD22" s="186"/>
      <c r="GE22" s="186"/>
      <c r="GF22" s="186"/>
      <c r="GG22" s="186"/>
      <c r="GH22" s="186"/>
      <c r="GI22" s="186"/>
      <c r="GJ22" s="186"/>
      <c r="GK22" s="186"/>
      <c r="GL22" s="186"/>
      <c r="GM22" s="186"/>
      <c r="GN22" s="186"/>
      <c r="GO22" s="186"/>
      <c r="GP22" s="186"/>
      <c r="GQ22" s="186"/>
      <c r="GR22" s="186"/>
      <c r="GS22" s="186"/>
      <c r="GT22" s="186"/>
      <c r="GU22" s="186"/>
      <c r="GV22" s="186"/>
      <c r="GW22" s="186"/>
      <c r="GX22" s="186"/>
      <c r="GY22" s="186"/>
      <c r="GZ22" s="186"/>
      <c r="HA22" s="186"/>
      <c r="HB22" s="186"/>
      <c r="HC22" s="186"/>
      <c r="HD22" s="186"/>
      <c r="HE22" s="186"/>
      <c r="HF22" s="186"/>
      <c r="HG22" s="186"/>
      <c r="HH22" s="186"/>
      <c r="HI22" s="186"/>
      <c r="HJ22" s="186"/>
      <c r="HK22" s="186"/>
      <c r="HL22" s="186"/>
      <c r="HM22" s="186"/>
      <c r="HN22" s="186"/>
      <c r="HO22" s="186"/>
      <c r="HP22" s="186"/>
      <c r="HQ22" s="186"/>
      <c r="HR22" s="187"/>
    </row>
    <row r="23" ht="54.75" customHeight="1">
      <c r="A23" s="207"/>
      <c r="B23" s="186"/>
      <c r="C23" s="186"/>
      <c r="D23" s="186"/>
      <c r="E23" s="186"/>
      <c r="F23" s="186"/>
      <c r="G23" s="186"/>
      <c r="H23" s="186"/>
      <c r="I23" s="186"/>
      <c r="J23" s="186"/>
      <c r="K23" s="236"/>
      <c r="L23" t="s" s="214">
        <v>117</v>
      </c>
      <c r="M23" s="215"/>
      <c r="N23" s="236"/>
      <c r="O23" t="s" s="214">
        <v>118</v>
      </c>
      <c r="P23" s="215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  <c r="DM23" s="186"/>
      <c r="DN23" s="186"/>
      <c r="DO23" s="186"/>
      <c r="DP23" s="186"/>
      <c r="DQ23" s="186"/>
      <c r="DR23" s="186"/>
      <c r="DS23" s="186"/>
      <c r="DT23" s="186"/>
      <c r="DU23" s="186"/>
      <c r="DV23" s="186"/>
      <c r="DW23" s="186"/>
      <c r="DX23" s="186"/>
      <c r="DY23" s="186"/>
      <c r="DZ23" s="186"/>
      <c r="EA23" s="186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  <c r="EY23" s="186"/>
      <c r="EZ23" s="186"/>
      <c r="FA23" s="186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  <c r="GR23" s="186"/>
      <c r="GS23" s="186"/>
      <c r="GT23" s="186"/>
      <c r="GU23" s="186"/>
      <c r="GV23" s="186"/>
      <c r="GW23" s="186"/>
      <c r="GX23" s="186"/>
      <c r="GY23" s="186"/>
      <c r="GZ23" s="186"/>
      <c r="HA23" s="186"/>
      <c r="HB23" s="186"/>
      <c r="HC23" s="186"/>
      <c r="HD23" s="186"/>
      <c r="HE23" s="186"/>
      <c r="HF23" s="186"/>
      <c r="HG23" s="186"/>
      <c r="HH23" s="186"/>
      <c r="HI23" s="186"/>
      <c r="HJ23" s="186"/>
      <c r="HK23" s="186"/>
      <c r="HL23" s="186"/>
      <c r="HM23" s="186"/>
      <c r="HN23" s="186"/>
      <c r="HO23" s="186"/>
      <c r="HP23" s="186"/>
      <c r="HQ23" s="186"/>
      <c r="HR23" s="187"/>
    </row>
    <row r="24" ht="54.75" customHeight="1">
      <c r="A24" s="207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t="s" s="214">
        <v>119</v>
      </c>
      <c r="M24" s="215"/>
      <c r="N24" s="236"/>
      <c r="O24" s="23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  <c r="EY24" s="186"/>
      <c r="EZ24" s="186"/>
      <c r="FA24" s="186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6"/>
      <c r="FM24" s="186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/>
      <c r="GE24" s="186"/>
      <c r="GF24" s="186"/>
      <c r="GG24" s="186"/>
      <c r="GH24" s="186"/>
      <c r="GI24" s="186"/>
      <c r="GJ24" s="186"/>
      <c r="GK24" s="186"/>
      <c r="GL24" s="186"/>
      <c r="GM24" s="186"/>
      <c r="GN24" s="186"/>
      <c r="GO24" s="186"/>
      <c r="GP24" s="186"/>
      <c r="GQ24" s="186"/>
      <c r="GR24" s="186"/>
      <c r="GS24" s="186"/>
      <c r="GT24" s="186"/>
      <c r="GU24" s="186"/>
      <c r="GV24" s="186"/>
      <c r="GW24" s="186"/>
      <c r="GX24" s="186"/>
      <c r="GY24" s="186"/>
      <c r="GZ24" s="186"/>
      <c r="HA24" s="186"/>
      <c r="HB24" s="186"/>
      <c r="HC24" s="186"/>
      <c r="HD24" s="186"/>
      <c r="HE24" s="186"/>
      <c r="HF24" s="186"/>
      <c r="HG24" s="186"/>
      <c r="HH24" s="186"/>
      <c r="HI24" s="186"/>
      <c r="HJ24" s="186"/>
      <c r="HK24" s="186"/>
      <c r="HL24" s="186"/>
      <c r="HM24" s="186"/>
      <c r="HN24" s="186"/>
      <c r="HO24" s="186"/>
      <c r="HP24" s="186"/>
      <c r="HQ24" s="186"/>
      <c r="HR24" s="187"/>
    </row>
    <row r="25" ht="54.75" customHeight="1">
      <c r="A25" s="207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239"/>
      <c r="N25" s="239"/>
      <c r="O25" s="239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/>
      <c r="DT25" s="186"/>
      <c r="DU25" s="186"/>
      <c r="DV25" s="186"/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  <c r="EY25" s="186"/>
      <c r="EZ25" s="186"/>
      <c r="FA25" s="186"/>
      <c r="FB25" s="186"/>
      <c r="FC25" s="186"/>
      <c r="FD25" s="186"/>
      <c r="FE25" s="186"/>
      <c r="FF25" s="186"/>
      <c r="FG25" s="186"/>
      <c r="FH25" s="186"/>
      <c r="FI25" s="186"/>
      <c r="FJ25" s="186"/>
      <c r="FK25" s="186"/>
      <c r="FL25" s="186"/>
      <c r="FM25" s="186"/>
      <c r="FN25" s="186"/>
      <c r="FO25" s="186"/>
      <c r="FP25" s="186"/>
      <c r="FQ25" s="186"/>
      <c r="FR25" s="186"/>
      <c r="FS25" s="186"/>
      <c r="FT25" s="186"/>
      <c r="FU25" s="186"/>
      <c r="FV25" s="186"/>
      <c r="FW25" s="186"/>
      <c r="FX25" s="186"/>
      <c r="FY25" s="186"/>
      <c r="FZ25" s="186"/>
      <c r="GA25" s="186"/>
      <c r="GB25" s="186"/>
      <c r="GC25" s="186"/>
      <c r="GD25" s="186"/>
      <c r="GE25" s="186"/>
      <c r="GF25" s="186"/>
      <c r="GG25" s="186"/>
      <c r="GH25" s="186"/>
      <c r="GI25" s="186"/>
      <c r="GJ25" s="186"/>
      <c r="GK25" s="186"/>
      <c r="GL25" s="186"/>
      <c r="GM25" s="186"/>
      <c r="GN25" s="186"/>
      <c r="GO25" s="186"/>
      <c r="GP25" s="186"/>
      <c r="GQ25" s="186"/>
      <c r="GR25" s="186"/>
      <c r="GS25" s="186"/>
      <c r="GT25" s="186"/>
      <c r="GU25" s="186"/>
      <c r="GV25" s="186"/>
      <c r="GW25" s="186"/>
      <c r="GX25" s="186"/>
      <c r="GY25" s="186"/>
      <c r="GZ25" s="186"/>
      <c r="HA25" s="186"/>
      <c r="HB25" s="186"/>
      <c r="HC25" s="186"/>
      <c r="HD25" s="186"/>
      <c r="HE25" s="186"/>
      <c r="HF25" s="186"/>
      <c r="HG25" s="186"/>
      <c r="HH25" s="186"/>
      <c r="HI25" s="186"/>
      <c r="HJ25" s="186"/>
      <c r="HK25" s="186"/>
      <c r="HL25" s="186"/>
      <c r="HM25" s="186"/>
      <c r="HN25" s="186"/>
      <c r="HO25" s="186"/>
      <c r="HP25" s="186"/>
      <c r="HQ25" s="186"/>
      <c r="HR25" s="187"/>
    </row>
    <row r="26" ht="54.75" customHeight="1">
      <c r="A26" s="207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  <c r="DM26" s="186"/>
      <c r="DN26" s="186"/>
      <c r="DO26" s="186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186"/>
      <c r="FI26" s="186"/>
      <c r="FJ26" s="186"/>
      <c r="FK26" s="186"/>
      <c r="FL26" s="186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86"/>
      <c r="GA26" s="186"/>
      <c r="GB26" s="186"/>
      <c r="GC26" s="186"/>
      <c r="GD26" s="186"/>
      <c r="GE26" s="186"/>
      <c r="GF26" s="186"/>
      <c r="GG26" s="186"/>
      <c r="GH26" s="186"/>
      <c r="GI26" s="186"/>
      <c r="GJ26" s="186"/>
      <c r="GK26" s="186"/>
      <c r="GL26" s="186"/>
      <c r="GM26" s="186"/>
      <c r="GN26" s="186"/>
      <c r="GO26" s="186"/>
      <c r="GP26" s="186"/>
      <c r="GQ26" s="186"/>
      <c r="GR26" s="186"/>
      <c r="GS26" s="186"/>
      <c r="GT26" s="186"/>
      <c r="GU26" s="186"/>
      <c r="GV26" s="186"/>
      <c r="GW26" s="186"/>
      <c r="GX26" s="186"/>
      <c r="GY26" s="186"/>
      <c r="GZ26" s="186"/>
      <c r="HA26" s="186"/>
      <c r="HB26" s="186"/>
      <c r="HC26" s="186"/>
      <c r="HD26" s="186"/>
      <c r="HE26" s="186"/>
      <c r="HF26" s="186"/>
      <c r="HG26" s="186"/>
      <c r="HH26" s="186"/>
      <c r="HI26" s="186"/>
      <c r="HJ26" s="186"/>
      <c r="HK26" s="186"/>
      <c r="HL26" s="186"/>
      <c r="HM26" s="186"/>
      <c r="HN26" s="186"/>
      <c r="HO26" s="186"/>
      <c r="HP26" s="186"/>
      <c r="HQ26" s="186"/>
      <c r="HR26" s="187"/>
    </row>
    <row r="27" ht="54.75" customHeight="1">
      <c r="A27" s="240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7"/>
    </row>
    <row r="28" ht="54.75" customHeight="1">
      <c r="A28" t="s" s="241">
        <v>120</v>
      </c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3"/>
      <c r="Q28" s="244"/>
      <c r="R28" s="245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7"/>
    </row>
    <row r="29" ht="24.75" customHeight="1">
      <c r="A29" t="s" s="246">
        <v>121</v>
      </c>
      <c r="B29" s="247"/>
      <c r="C29" s="248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50"/>
      <c r="R29" s="250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7"/>
    </row>
    <row r="30" ht="21" customHeight="1">
      <c r="A30" t="s" s="251">
        <v>122</v>
      </c>
      <c r="B30" s="252"/>
      <c r="C30" s="253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0"/>
      <c r="R30" s="250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  <c r="DM30" s="186"/>
      <c r="DN30" s="186"/>
      <c r="DO30" s="186"/>
      <c r="DP30" s="186"/>
      <c r="DQ30" s="186"/>
      <c r="DR30" s="186"/>
      <c r="DS30" s="186"/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  <c r="EY30" s="186"/>
      <c r="EZ30" s="186"/>
      <c r="FA30" s="186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  <c r="GR30" s="186"/>
      <c r="GS30" s="186"/>
      <c r="GT30" s="186"/>
      <c r="GU30" s="186"/>
      <c r="GV30" s="186"/>
      <c r="GW30" s="186"/>
      <c r="GX30" s="186"/>
      <c r="GY30" s="186"/>
      <c r="GZ30" s="186"/>
      <c r="HA30" s="186"/>
      <c r="HB30" s="186"/>
      <c r="HC30" s="186"/>
      <c r="HD30" s="186"/>
      <c r="HE30" s="186"/>
      <c r="HF30" s="186"/>
      <c r="HG30" s="186"/>
      <c r="HH30" s="186"/>
      <c r="HI30" s="186"/>
      <c r="HJ30" s="186"/>
      <c r="HK30" s="186"/>
      <c r="HL30" s="186"/>
      <c r="HM30" s="186"/>
      <c r="HN30" s="186"/>
      <c r="HO30" s="186"/>
      <c r="HP30" s="186"/>
      <c r="HQ30" s="186"/>
      <c r="HR30" s="187"/>
    </row>
    <row r="31" ht="24" customHeight="1">
      <c r="A31" t="s" s="251">
        <v>123</v>
      </c>
      <c r="B31" s="252"/>
      <c r="C31" s="253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0"/>
      <c r="R31" s="250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  <c r="DM31" s="186"/>
      <c r="DN31" s="186"/>
      <c r="DO31" s="186"/>
      <c r="DP31" s="186"/>
      <c r="DQ31" s="186"/>
      <c r="DR31" s="186"/>
      <c r="DS31" s="186"/>
      <c r="DT31" s="186"/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  <c r="EY31" s="186"/>
      <c r="EZ31" s="186"/>
      <c r="FA31" s="186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  <c r="GR31" s="186"/>
      <c r="GS31" s="186"/>
      <c r="GT31" s="186"/>
      <c r="GU31" s="186"/>
      <c r="GV31" s="186"/>
      <c r="GW31" s="186"/>
      <c r="GX31" s="186"/>
      <c r="GY31" s="186"/>
      <c r="GZ31" s="186"/>
      <c r="HA31" s="186"/>
      <c r="HB31" s="186"/>
      <c r="HC31" s="186"/>
      <c r="HD31" s="186"/>
      <c r="HE31" s="186"/>
      <c r="HF31" s="186"/>
      <c r="HG31" s="186"/>
      <c r="HH31" s="186"/>
      <c r="HI31" s="186"/>
      <c r="HJ31" s="186"/>
      <c r="HK31" s="186"/>
      <c r="HL31" s="186"/>
      <c r="HM31" s="186"/>
      <c r="HN31" s="186"/>
      <c r="HO31" s="186"/>
      <c r="HP31" s="186"/>
      <c r="HQ31" s="186"/>
      <c r="HR31" s="187"/>
    </row>
    <row r="32" ht="22.5" customHeight="1">
      <c r="A32" t="s" s="251">
        <v>124</v>
      </c>
      <c r="B32" s="252"/>
      <c r="C32" s="253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0"/>
      <c r="R32" s="250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  <c r="DM32" s="186"/>
      <c r="DN32" s="186"/>
      <c r="DO32" s="186"/>
      <c r="DP32" s="186"/>
      <c r="DQ32" s="186"/>
      <c r="DR32" s="186"/>
      <c r="DS32" s="186"/>
      <c r="DT32" s="186"/>
      <c r="DU32" s="186"/>
      <c r="DV32" s="186"/>
      <c r="DW32" s="186"/>
      <c r="DX32" s="186"/>
      <c r="DY32" s="186"/>
      <c r="DZ32" s="186"/>
      <c r="EA32" s="186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6"/>
      <c r="EO32" s="186"/>
      <c r="EP32" s="186"/>
      <c r="EQ32" s="186"/>
      <c r="ER32" s="186"/>
      <c r="ES32" s="186"/>
      <c r="ET32" s="186"/>
      <c r="EU32" s="186"/>
      <c r="EV32" s="186"/>
      <c r="EW32" s="186"/>
      <c r="EX32" s="186"/>
      <c r="EY32" s="186"/>
      <c r="EZ32" s="186"/>
      <c r="FA32" s="186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  <c r="GR32" s="186"/>
      <c r="GS32" s="186"/>
      <c r="GT32" s="186"/>
      <c r="GU32" s="186"/>
      <c r="GV32" s="186"/>
      <c r="GW32" s="186"/>
      <c r="GX32" s="186"/>
      <c r="GY32" s="186"/>
      <c r="GZ32" s="186"/>
      <c r="HA32" s="186"/>
      <c r="HB32" s="186"/>
      <c r="HC32" s="186"/>
      <c r="HD32" s="186"/>
      <c r="HE32" s="186"/>
      <c r="HF32" s="186"/>
      <c r="HG32" s="186"/>
      <c r="HH32" s="186"/>
      <c r="HI32" s="186"/>
      <c r="HJ32" s="186"/>
      <c r="HK32" s="186"/>
      <c r="HL32" s="186"/>
      <c r="HM32" s="186"/>
      <c r="HN32" s="186"/>
      <c r="HO32" s="186"/>
      <c r="HP32" s="186"/>
      <c r="HQ32" s="186"/>
      <c r="HR32" s="187"/>
    </row>
    <row r="33" ht="21" customHeight="1">
      <c r="A33" t="s" s="255">
        <v>125</v>
      </c>
      <c r="B33" s="256"/>
      <c r="C33" s="257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0"/>
      <c r="R33" s="250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  <c r="DM33" s="186"/>
      <c r="DN33" s="186"/>
      <c r="DO33" s="186"/>
      <c r="DP33" s="186"/>
      <c r="DQ33" s="186"/>
      <c r="DR33" s="186"/>
      <c r="DS33" s="186"/>
      <c r="DT33" s="186"/>
      <c r="DU33" s="186"/>
      <c r="DV33" s="186"/>
      <c r="DW33" s="186"/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  <c r="EY33" s="186"/>
      <c r="EZ33" s="186"/>
      <c r="FA33" s="186"/>
      <c r="FB33" s="186"/>
      <c r="FC33" s="186"/>
      <c r="FD33" s="186"/>
      <c r="FE33" s="186"/>
      <c r="FF33" s="186"/>
      <c r="FG33" s="186"/>
      <c r="FH33" s="186"/>
      <c r="FI33" s="186"/>
      <c r="FJ33" s="186"/>
      <c r="FK33" s="186"/>
      <c r="FL33" s="186"/>
      <c r="FM33" s="186"/>
      <c r="FN33" s="186"/>
      <c r="FO33" s="186"/>
      <c r="FP33" s="186"/>
      <c r="FQ33" s="186"/>
      <c r="FR33" s="186"/>
      <c r="FS33" s="186"/>
      <c r="FT33" s="186"/>
      <c r="FU33" s="186"/>
      <c r="FV33" s="186"/>
      <c r="FW33" s="186"/>
      <c r="FX33" s="186"/>
      <c r="FY33" s="186"/>
      <c r="FZ33" s="186"/>
      <c r="GA33" s="186"/>
      <c r="GB33" s="186"/>
      <c r="GC33" s="186"/>
      <c r="GD33" s="186"/>
      <c r="GE33" s="186"/>
      <c r="GF33" s="186"/>
      <c r="GG33" s="186"/>
      <c r="GH33" s="186"/>
      <c r="GI33" s="186"/>
      <c r="GJ33" s="186"/>
      <c r="GK33" s="186"/>
      <c r="GL33" s="186"/>
      <c r="GM33" s="186"/>
      <c r="GN33" s="186"/>
      <c r="GO33" s="186"/>
      <c r="GP33" s="186"/>
      <c r="GQ33" s="186"/>
      <c r="GR33" s="186"/>
      <c r="GS33" s="186"/>
      <c r="GT33" s="186"/>
      <c r="GU33" s="186"/>
      <c r="GV33" s="186"/>
      <c r="GW33" s="186"/>
      <c r="GX33" s="186"/>
      <c r="GY33" s="186"/>
      <c r="GZ33" s="186"/>
      <c r="HA33" s="186"/>
      <c r="HB33" s="186"/>
      <c r="HC33" s="186"/>
      <c r="HD33" s="186"/>
      <c r="HE33" s="186"/>
      <c r="HF33" s="186"/>
      <c r="HG33" s="186"/>
      <c r="HH33" s="186"/>
      <c r="HI33" s="186"/>
      <c r="HJ33" s="186"/>
      <c r="HK33" s="186"/>
      <c r="HL33" s="186"/>
      <c r="HM33" s="186"/>
      <c r="HN33" s="186"/>
      <c r="HO33" s="186"/>
      <c r="HP33" s="186"/>
      <c r="HQ33" s="186"/>
      <c r="HR33" s="187"/>
    </row>
    <row r="34" ht="54.75" customHeight="1">
      <c r="A34" t="s" s="241">
        <v>126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3"/>
      <c r="Q34" s="244"/>
      <c r="R34" s="245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  <c r="DM34" s="186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/>
      <c r="EV34" s="186"/>
      <c r="EW34" s="186"/>
      <c r="EX34" s="186"/>
      <c r="EY34" s="186"/>
      <c r="EZ34" s="186"/>
      <c r="FA34" s="186"/>
      <c r="FB34" s="186"/>
      <c r="FC34" s="186"/>
      <c r="FD34" s="186"/>
      <c r="FE34" s="186"/>
      <c r="FF34" s="186"/>
      <c r="FG34" s="186"/>
      <c r="FH34" s="186"/>
      <c r="FI34" s="186"/>
      <c r="FJ34" s="186"/>
      <c r="FK34" s="186"/>
      <c r="FL34" s="186"/>
      <c r="FM34" s="186"/>
      <c r="FN34" s="186"/>
      <c r="FO34" s="186"/>
      <c r="FP34" s="186"/>
      <c r="FQ34" s="186"/>
      <c r="FR34" s="186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7"/>
    </row>
    <row r="35" ht="54.75" customHeight="1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1"/>
      <c r="Q35" s="262"/>
      <c r="R35" s="263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  <c r="DM35" s="186"/>
      <c r="DN35" s="186"/>
      <c r="DO35" s="186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/>
      <c r="EW35" s="186"/>
      <c r="EX35" s="186"/>
      <c r="EY35" s="186"/>
      <c r="EZ35" s="186"/>
      <c r="FA35" s="186"/>
      <c r="FB35" s="186"/>
      <c r="FC35" s="186"/>
      <c r="FD35" s="186"/>
      <c r="FE35" s="186"/>
      <c r="FF35" s="186"/>
      <c r="FG35" s="186"/>
      <c r="FH35" s="186"/>
      <c r="FI35" s="186"/>
      <c r="FJ35" s="186"/>
      <c r="FK35" s="186"/>
      <c r="FL35" s="186"/>
      <c r="FM35" s="186"/>
      <c r="FN35" s="186"/>
      <c r="FO35" s="186"/>
      <c r="FP35" s="186"/>
      <c r="FQ35" s="186"/>
      <c r="FR35" s="186"/>
      <c r="FS35" s="186"/>
      <c r="FT35" s="186"/>
      <c r="FU35" s="186"/>
      <c r="FV35" s="186"/>
      <c r="FW35" s="186"/>
      <c r="FX35" s="186"/>
      <c r="FY35" s="186"/>
      <c r="FZ35" s="186"/>
      <c r="GA35" s="186"/>
      <c r="GB35" s="186"/>
      <c r="GC35" s="186"/>
      <c r="GD35" s="186"/>
      <c r="GE35" s="186"/>
      <c r="GF35" s="186"/>
      <c r="GG35" s="186"/>
      <c r="GH35" s="186"/>
      <c r="GI35" s="186"/>
      <c r="GJ35" s="186"/>
      <c r="GK35" s="186"/>
      <c r="GL35" s="186"/>
      <c r="GM35" s="186"/>
      <c r="GN35" s="186"/>
      <c r="GO35" s="186"/>
      <c r="GP35" s="186"/>
      <c r="GQ35" s="186"/>
      <c r="GR35" s="186"/>
      <c r="GS35" s="186"/>
      <c r="GT35" s="186"/>
      <c r="GU35" s="186"/>
      <c r="GV35" s="186"/>
      <c r="GW35" s="186"/>
      <c r="GX35" s="186"/>
      <c r="GY35" s="186"/>
      <c r="GZ35" s="186"/>
      <c r="HA35" s="186"/>
      <c r="HB35" s="186"/>
      <c r="HC35" s="186"/>
      <c r="HD35" s="186"/>
      <c r="HE35" s="186"/>
      <c r="HF35" s="186"/>
      <c r="HG35" s="186"/>
      <c r="HH35" s="186"/>
      <c r="HI35" s="186"/>
      <c r="HJ35" s="186"/>
      <c r="HK35" s="186"/>
      <c r="HL35" s="186"/>
      <c r="HM35" s="186"/>
      <c r="HN35" s="186"/>
      <c r="HO35" s="186"/>
      <c r="HP35" s="186"/>
      <c r="HQ35" s="186"/>
      <c r="HR35" s="187"/>
    </row>
    <row r="36" ht="54.75" customHeight="1">
      <c r="A36" s="264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6"/>
      <c r="Q36" s="273"/>
      <c r="R36" s="274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268"/>
      <c r="CO36" s="268"/>
      <c r="CP36" s="268"/>
      <c r="CQ36" s="268"/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  <c r="DM36" s="268"/>
      <c r="DN36" s="268"/>
      <c r="DO36" s="268"/>
      <c r="DP36" s="268"/>
      <c r="DQ36" s="268"/>
      <c r="DR36" s="268"/>
      <c r="DS36" s="268"/>
      <c r="DT36" s="268"/>
      <c r="DU36" s="268"/>
      <c r="DV36" s="268"/>
      <c r="DW36" s="268"/>
      <c r="DX36" s="268"/>
      <c r="DY36" s="268"/>
      <c r="DZ36" s="268"/>
      <c r="EA36" s="268"/>
      <c r="EB36" s="268"/>
      <c r="EC36" s="268"/>
      <c r="ED36" s="268"/>
      <c r="EE36" s="268"/>
      <c r="EF36" s="268"/>
      <c r="EG36" s="268"/>
      <c r="EH36" s="268"/>
      <c r="EI36" s="268"/>
      <c r="EJ36" s="268"/>
      <c r="EK36" s="268"/>
      <c r="EL36" s="268"/>
      <c r="EM36" s="268"/>
      <c r="EN36" s="268"/>
      <c r="EO36" s="268"/>
      <c r="EP36" s="268"/>
      <c r="EQ36" s="268"/>
      <c r="ER36" s="268"/>
      <c r="ES36" s="268"/>
      <c r="ET36" s="268"/>
      <c r="EU36" s="268"/>
      <c r="EV36" s="268"/>
      <c r="EW36" s="268"/>
      <c r="EX36" s="268"/>
      <c r="EY36" s="268"/>
      <c r="EZ36" s="268"/>
      <c r="FA36" s="268"/>
      <c r="FB36" s="268"/>
      <c r="FC36" s="268"/>
      <c r="FD36" s="268"/>
      <c r="FE36" s="268"/>
      <c r="FF36" s="268"/>
      <c r="FG36" s="268"/>
      <c r="FH36" s="268"/>
      <c r="FI36" s="268"/>
      <c r="FJ36" s="268"/>
      <c r="FK36" s="268"/>
      <c r="FL36" s="268"/>
      <c r="FM36" s="268"/>
      <c r="FN36" s="268"/>
      <c r="FO36" s="268"/>
      <c r="FP36" s="268"/>
      <c r="FQ36" s="268"/>
      <c r="FR36" s="268"/>
      <c r="FS36" s="268"/>
      <c r="FT36" s="268"/>
      <c r="FU36" s="268"/>
      <c r="FV36" s="268"/>
      <c r="FW36" s="268"/>
      <c r="FX36" s="268"/>
      <c r="FY36" s="268"/>
      <c r="FZ36" s="268"/>
      <c r="GA36" s="268"/>
      <c r="GB36" s="268"/>
      <c r="GC36" s="268"/>
      <c r="GD36" s="268"/>
      <c r="GE36" s="268"/>
      <c r="GF36" s="268"/>
      <c r="GG36" s="268"/>
      <c r="GH36" s="268"/>
      <c r="GI36" s="268"/>
      <c r="GJ36" s="268"/>
      <c r="GK36" s="268"/>
      <c r="GL36" s="268"/>
      <c r="GM36" s="268"/>
      <c r="GN36" s="268"/>
      <c r="GO36" s="268"/>
      <c r="GP36" s="268"/>
      <c r="GQ36" s="268"/>
      <c r="GR36" s="268"/>
      <c r="GS36" s="268"/>
      <c r="GT36" s="268"/>
      <c r="GU36" s="268"/>
      <c r="GV36" s="268"/>
      <c r="GW36" s="268"/>
      <c r="GX36" s="268"/>
      <c r="GY36" s="268"/>
      <c r="GZ36" s="268"/>
      <c r="HA36" s="268"/>
      <c r="HB36" s="268"/>
      <c r="HC36" s="268"/>
      <c r="HD36" s="268"/>
      <c r="HE36" s="268"/>
      <c r="HF36" s="268"/>
      <c r="HG36" s="268"/>
      <c r="HH36" s="268"/>
      <c r="HI36" s="268"/>
      <c r="HJ36" s="268"/>
      <c r="HK36" s="268"/>
      <c r="HL36" s="268"/>
      <c r="HM36" s="268"/>
      <c r="HN36" s="268"/>
      <c r="HO36" s="268"/>
      <c r="HP36" s="268"/>
      <c r="HQ36" s="268"/>
      <c r="HR36" s="269"/>
    </row>
  </sheetData>
  <mergeCells count="53">
    <mergeCell ref="A34:P34"/>
    <mergeCell ref="A35:P36"/>
    <mergeCell ref="C1:G1"/>
    <mergeCell ref="N1:P1"/>
    <mergeCell ref="A2:P2"/>
    <mergeCell ref="I4:P4"/>
    <mergeCell ref="B7:F7"/>
    <mergeCell ref="I7:P7"/>
    <mergeCell ref="B9:E9"/>
    <mergeCell ref="I9:O9"/>
    <mergeCell ref="B10:E10"/>
    <mergeCell ref="I10:O10"/>
    <mergeCell ref="B11:E11"/>
    <mergeCell ref="I11:O11"/>
    <mergeCell ref="I12:O12"/>
    <mergeCell ref="B14:F14"/>
    <mergeCell ref="I14:P14"/>
    <mergeCell ref="B16:E16"/>
    <mergeCell ref="I16:J16"/>
    <mergeCell ref="L16:M16"/>
    <mergeCell ref="O16:P16"/>
    <mergeCell ref="B17:E17"/>
    <mergeCell ref="I17:J17"/>
    <mergeCell ref="L17:M17"/>
    <mergeCell ref="O17:P17"/>
    <mergeCell ref="B18:E18"/>
    <mergeCell ref="I18:J18"/>
    <mergeCell ref="L18:M18"/>
    <mergeCell ref="O18:P18"/>
    <mergeCell ref="B19:E19"/>
    <mergeCell ref="I19:J19"/>
    <mergeCell ref="L19:M19"/>
    <mergeCell ref="O19:P19"/>
    <mergeCell ref="B20:E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L23:M23"/>
    <mergeCell ref="O23:P23"/>
    <mergeCell ref="L24:M24"/>
    <mergeCell ref="A28:P28"/>
    <mergeCell ref="A29:B29"/>
    <mergeCell ref="C29:P33"/>
    <mergeCell ref="A30:B30"/>
    <mergeCell ref="A31:B31"/>
    <mergeCell ref="A32:B32"/>
    <mergeCell ref="A33:B33"/>
  </mergeCells>
  <pageMargins left="0.7" right="0.7" top="0.75" bottom="0.75" header="0.3" footer="0.3"/>
  <pageSetup firstPageNumber="1" fitToHeight="1" fitToWidth="1" scale="42" useFirstPageNumber="0" orientation="portrait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48"/>
  <sheetViews>
    <sheetView workbookViewId="0" showGridLines="0" defaultGridColor="1"/>
  </sheetViews>
  <sheetFormatPr defaultColWidth="14.3333" defaultRowHeight="21.75" customHeight="1" outlineLevelRow="0" outlineLevelCol="0"/>
  <cols>
    <col min="1" max="3" width="14.3516" style="277" customWidth="1"/>
    <col min="4" max="4" width="15" style="277" customWidth="1"/>
    <col min="5" max="5" width="15.8516" style="277" customWidth="1"/>
    <col min="6" max="8" width="14.3516" style="277" customWidth="1"/>
    <col min="9" max="9" width="11.3516" style="277" customWidth="1"/>
    <col min="10" max="10" width="17.6719" style="277" customWidth="1"/>
    <col min="11" max="13" width="14.3516" style="277" customWidth="1"/>
    <col min="14" max="14" width="16.5" style="277" customWidth="1"/>
    <col min="15" max="15" width="16.6719" style="277" customWidth="1"/>
    <col min="16" max="19" width="14.3516" style="277" customWidth="1"/>
    <col min="20" max="16384" width="14.3516" style="277" customWidth="1"/>
  </cols>
  <sheetData>
    <row r="1" ht="98.25" customHeight="1">
      <c r="A1" s="2"/>
      <c r="B1" s="3"/>
      <c r="C1" t="s" s="4">
        <v>0</v>
      </c>
      <c r="D1" s="5"/>
      <c r="E1" s="5"/>
      <c r="F1" s="3"/>
      <c r="G1" s="5"/>
      <c r="H1" t="s" s="4">
        <v>1</v>
      </c>
      <c r="I1" s="3"/>
      <c r="J1" s="3"/>
      <c r="K1" t="s" s="4">
        <v>2</v>
      </c>
      <c r="L1" s="3"/>
      <c r="M1" t="s" s="4">
        <v>3</v>
      </c>
      <c r="N1" s="3"/>
      <c r="O1" t="s" s="6">
        <v>4</v>
      </c>
      <c r="P1" s="7"/>
      <c r="Q1" s="8"/>
      <c r="R1" s="8"/>
      <c r="S1" s="9"/>
    </row>
    <row r="2" ht="51.75" customHeight="1">
      <c r="A2" t="s" s="10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3"/>
      <c r="R2" s="14"/>
      <c r="S2" s="15"/>
    </row>
    <row r="3" ht="22.5" customHeight="1">
      <c r="A3" s="16"/>
      <c r="B3" s="17"/>
      <c r="C3" s="17"/>
      <c r="D3" s="17"/>
      <c r="E3" s="18"/>
      <c r="F3" s="18"/>
      <c r="G3" s="17"/>
      <c r="H3" s="17"/>
      <c r="I3" s="17"/>
      <c r="J3" s="17"/>
      <c r="K3" s="18"/>
      <c r="L3" s="17"/>
      <c r="M3" s="17"/>
      <c r="N3" s="17"/>
      <c r="O3" s="17"/>
      <c r="P3" s="18"/>
      <c r="Q3" s="14"/>
      <c r="R3" s="14"/>
      <c r="S3" s="15"/>
    </row>
    <row r="4" ht="45.95" customHeight="1">
      <c r="A4" s="19"/>
      <c r="B4" t="s" s="20">
        <v>6</v>
      </c>
      <c r="C4" s="21"/>
      <c r="D4" s="22"/>
      <c r="E4" s="23"/>
      <c r="F4" s="24"/>
      <c r="G4" t="s" s="25">
        <v>7</v>
      </c>
      <c r="H4" s="26"/>
      <c r="I4" s="26"/>
      <c r="J4" s="27"/>
      <c r="K4" s="28"/>
      <c r="L4" t="s" s="20">
        <v>8</v>
      </c>
      <c r="M4" s="21"/>
      <c r="N4" s="21"/>
      <c r="O4" t="s" s="29">
        <v>9</v>
      </c>
      <c r="P4" s="23"/>
      <c r="Q4" s="14"/>
      <c r="R4" s="14"/>
      <c r="S4" s="15"/>
    </row>
    <row r="5" ht="45.95" customHeight="1">
      <c r="A5" s="19"/>
      <c r="B5" t="s" s="30">
        <v>10</v>
      </c>
      <c r="C5" s="31"/>
      <c r="D5" s="32"/>
      <c r="E5" s="23"/>
      <c r="F5" s="24"/>
      <c r="G5" t="s" s="33">
        <v>11</v>
      </c>
      <c r="H5" s="34"/>
      <c r="I5" s="35"/>
      <c r="J5" s="32"/>
      <c r="K5" s="28"/>
      <c r="L5" t="s" s="30">
        <v>12</v>
      </c>
      <c r="M5" s="31"/>
      <c r="N5" s="36">
        <v>0.15</v>
      </c>
      <c r="O5" s="37" cm="1">
        <f t="array" ref="O5">IF(D7/8100&lt;1,1,D7/8100)</f>
        <v>1</v>
      </c>
      <c r="P5" s="23"/>
      <c r="Q5" s="14"/>
      <c r="R5" s="14"/>
      <c r="S5" s="15"/>
    </row>
    <row r="6" ht="45.95" customHeight="1">
      <c r="A6" s="19"/>
      <c r="B6" t="s" s="30">
        <v>13</v>
      </c>
      <c r="C6" s="31"/>
      <c r="D6" s="38" cm="1">
        <f t="array" ref="D6">D5*0.85</f>
        <v>0</v>
      </c>
      <c r="E6" s="23"/>
      <c r="F6" s="24"/>
      <c r="G6" t="s" s="39">
        <v>14</v>
      </c>
      <c r="H6" s="40"/>
      <c r="I6" s="41"/>
      <c r="J6" s="42"/>
      <c r="K6" s="28"/>
      <c r="L6" t="s" s="43">
        <v>15</v>
      </c>
      <c r="M6" s="44"/>
      <c r="N6" s="36">
        <v>0.05</v>
      </c>
      <c r="O6" s="37" cm="1">
        <f t="array" ref="O6">IF(D8*N6&lt;1,1,D8*N6)</f>
      </c>
      <c r="P6" s="23"/>
      <c r="Q6" s="14"/>
      <c r="R6" s="14"/>
      <c r="S6" s="15"/>
    </row>
    <row r="7" ht="45.95" customHeight="1">
      <c r="A7" s="19"/>
      <c r="B7" t="s" s="43">
        <v>12</v>
      </c>
      <c r="C7" s="44"/>
      <c r="D7" s="38" cm="1">
        <f t="array" ref="D7">D5*0.15</f>
        <v>0</v>
      </c>
      <c r="E7" s="23"/>
      <c r="F7" s="24"/>
      <c r="G7" t="s" s="39">
        <v>16</v>
      </c>
      <c r="H7" s="40"/>
      <c r="I7" s="41"/>
      <c r="J7" s="45" cm="1">
        <f t="array" ref="J7">J5*J6</f>
        <v>0</v>
      </c>
      <c r="K7" s="28"/>
      <c r="L7" t="s" s="46">
        <v>17</v>
      </c>
      <c r="M7" s="47"/>
      <c r="N7" s="48">
        <v>0.3</v>
      </c>
      <c r="O7" s="49" cm="1">
        <f t="array" ref="O7">IF(D8*N7&lt;1,1,D8*N7)</f>
      </c>
      <c r="P7" s="23"/>
      <c r="Q7" s="14"/>
      <c r="R7" s="14"/>
      <c r="S7" s="15"/>
    </row>
    <row r="8" ht="45.95" customHeight="1">
      <c r="A8" s="19"/>
      <c r="B8" t="s" s="46">
        <v>18</v>
      </c>
      <c r="C8" s="47"/>
      <c r="D8" s="49" cm="1">
        <f t="array" ref="D8">D5/N14</f>
      </c>
      <c r="E8" s="23"/>
      <c r="F8" s="24"/>
      <c r="G8" t="s" s="50">
        <v>19</v>
      </c>
      <c r="H8" s="51"/>
      <c r="I8" s="52"/>
      <c r="J8" s="49" cm="1">
        <f t="array" ref="J8">D5*1.1</f>
        <v>0</v>
      </c>
      <c r="K8" s="23"/>
      <c r="L8" t="s" s="53">
        <v>20</v>
      </c>
      <c r="M8" s="54"/>
      <c r="N8" s="54"/>
      <c r="O8" s="54"/>
      <c r="P8" s="14"/>
      <c r="Q8" s="14"/>
      <c r="R8" s="14"/>
      <c r="S8" s="15"/>
    </row>
    <row r="9" ht="45.95" customHeight="1">
      <c r="A9" s="55"/>
      <c r="B9" s="56"/>
      <c r="C9" s="56"/>
      <c r="D9" s="56"/>
      <c r="E9" s="14"/>
      <c r="F9" s="14"/>
      <c r="G9" t="s" s="53">
        <v>21</v>
      </c>
      <c r="H9" s="54"/>
      <c r="I9" s="54"/>
      <c r="J9" s="54"/>
      <c r="K9" s="14"/>
      <c r="L9" s="57"/>
      <c r="M9" s="14"/>
      <c r="N9" s="14"/>
      <c r="O9" s="14"/>
      <c r="P9" s="14"/>
      <c r="Q9" s="14"/>
      <c r="R9" s="14"/>
      <c r="S9" s="15"/>
    </row>
    <row r="10" ht="45.95" customHeight="1">
      <c r="A10" s="55"/>
      <c r="B10" s="58"/>
      <c r="C10" s="58"/>
      <c r="D10" s="58"/>
      <c r="E10" s="58"/>
      <c r="F10" s="14"/>
      <c r="G10" s="58"/>
      <c r="H10" s="58"/>
      <c r="I10" s="58"/>
      <c r="J10" s="58"/>
      <c r="K10" s="14"/>
      <c r="L10" t="s" s="59">
        <v>22</v>
      </c>
      <c r="M10" s="60"/>
      <c r="N10" t="s" s="59">
        <v>23</v>
      </c>
      <c r="O10" s="60"/>
      <c r="P10" s="14"/>
      <c r="Q10" s="14"/>
      <c r="R10" s="14"/>
      <c r="S10" s="15"/>
    </row>
    <row r="11" ht="45.95" customHeight="1">
      <c r="A11" s="19"/>
      <c r="B11" t="s" s="25">
        <v>24</v>
      </c>
      <c r="C11" s="26"/>
      <c r="D11" s="26"/>
      <c r="E11" s="27"/>
      <c r="F11" s="28"/>
      <c r="G11" t="s" s="61">
        <v>25</v>
      </c>
      <c r="H11" s="62"/>
      <c r="I11" s="62"/>
      <c r="J11" s="63"/>
      <c r="K11" s="28"/>
      <c r="L11" t="s" s="64">
        <v>26</v>
      </c>
      <c r="M11" s="65"/>
      <c r="N11" t="s" s="64">
        <v>26</v>
      </c>
      <c r="O11" s="65"/>
      <c r="P11" s="23"/>
      <c r="Q11" s="14"/>
      <c r="R11" s="14"/>
      <c r="S11" s="15"/>
    </row>
    <row r="12" ht="45.95" customHeight="1">
      <c r="A12" s="19"/>
      <c r="B12" t="s" s="33">
        <v>27</v>
      </c>
      <c r="C12" s="35"/>
      <c r="D12" s="66" cm="1">
        <f t="array" ref="D12">D5/D31</f>
      </c>
      <c r="E12" s="67"/>
      <c r="F12" s="28"/>
      <c r="G12" t="s" s="68">
        <v>28</v>
      </c>
      <c r="H12" s="69"/>
      <c r="I12" s="70"/>
      <c r="J12" s="71"/>
      <c r="K12" s="28"/>
      <c r="L12" s="72"/>
      <c r="M12" s="73"/>
      <c r="N12" s="72"/>
      <c r="O12" s="73"/>
      <c r="P12" s="23"/>
      <c r="Q12" s="14"/>
      <c r="R12" s="14"/>
      <c r="S12" s="15"/>
    </row>
    <row r="13" ht="45.95" customHeight="1">
      <c r="A13" s="19"/>
      <c r="B13" t="s" s="50">
        <v>9</v>
      </c>
      <c r="C13" s="52"/>
      <c r="D13" s="74" cm="1">
        <f t="array" ref="D13">D8/D31</f>
      </c>
      <c r="E13" s="75"/>
      <c r="F13" s="23"/>
      <c r="G13" s="56"/>
      <c r="H13" s="56"/>
      <c r="I13" s="76"/>
      <c r="J13" s="76"/>
      <c r="K13" s="24"/>
      <c r="L13" t="s" s="64">
        <v>29</v>
      </c>
      <c r="M13" s="65"/>
      <c r="N13" t="s" s="64">
        <v>29</v>
      </c>
      <c r="O13" s="65"/>
      <c r="P13" s="23"/>
      <c r="Q13" s="14"/>
      <c r="R13" s="14"/>
      <c r="S13" s="15"/>
    </row>
    <row r="14" ht="45.95" customHeight="1">
      <c r="A14" s="55"/>
      <c r="B14" s="56"/>
      <c r="C14" s="56"/>
      <c r="D14" s="56"/>
      <c r="E14" s="56"/>
      <c r="F14" s="14"/>
      <c r="G14" s="14"/>
      <c r="H14" s="14"/>
      <c r="I14" s="77"/>
      <c r="J14" s="77"/>
      <c r="K14" s="24"/>
      <c r="L14" s="72"/>
      <c r="M14" s="73"/>
      <c r="N14" s="72"/>
      <c r="O14" s="73"/>
      <c r="P14" s="23"/>
      <c r="Q14" s="14"/>
      <c r="R14" s="14"/>
      <c r="S14" s="15"/>
    </row>
    <row r="15" ht="45.95" customHeight="1">
      <c r="A15" s="55"/>
      <c r="B15" s="14"/>
      <c r="C15" s="58"/>
      <c r="D15" s="58"/>
      <c r="E15" s="58"/>
      <c r="F15" s="58"/>
      <c r="G15" s="58"/>
      <c r="H15" s="58"/>
      <c r="I15" s="14"/>
      <c r="J15" s="14"/>
      <c r="K15" s="14"/>
      <c r="L15" s="56"/>
      <c r="M15" s="56"/>
      <c r="N15" s="56"/>
      <c r="O15" s="56"/>
      <c r="P15" s="14"/>
      <c r="Q15" s="14"/>
      <c r="R15" s="14"/>
      <c r="S15" s="15"/>
    </row>
    <row r="16" ht="55.5" customHeight="1">
      <c r="A16" s="55"/>
      <c r="B16" s="78"/>
      <c r="C16" t="s" s="79">
        <v>30</v>
      </c>
      <c r="D16" t="s" s="80">
        <v>31</v>
      </c>
      <c r="E16" t="s" s="80">
        <v>32</v>
      </c>
      <c r="F16" t="s" s="80">
        <v>33</v>
      </c>
      <c r="G16" t="s" s="80">
        <v>34</v>
      </c>
      <c r="H16" t="s" s="81">
        <v>35</v>
      </c>
      <c r="I16" s="82"/>
      <c r="J16" s="77"/>
      <c r="K16" s="14"/>
      <c r="L16" s="14"/>
      <c r="M16" s="14"/>
      <c r="N16" s="14"/>
      <c r="O16" s="14"/>
      <c r="P16" s="14"/>
      <c r="Q16" s="14"/>
      <c r="R16" s="14"/>
      <c r="S16" s="15"/>
    </row>
    <row r="17" ht="45.95" customHeight="1">
      <c r="A17" s="19"/>
      <c r="B17" t="s" s="83">
        <v>36</v>
      </c>
      <c r="C17" s="84"/>
      <c r="D17" s="85"/>
      <c r="E17" s="85"/>
      <c r="F17" s="85"/>
      <c r="G17" s="86"/>
      <c r="H17" s="87" cm="1">
        <f t="array" ref="H17">SUM(C17:G17)</f>
        <v>0</v>
      </c>
      <c r="I17" s="82"/>
      <c r="J17" s="77"/>
      <c r="K17" s="77"/>
      <c r="L17" s="77"/>
      <c r="M17" s="77"/>
      <c r="N17" s="77"/>
      <c r="O17" s="77"/>
      <c r="P17" s="14"/>
      <c r="Q17" s="14"/>
      <c r="R17" s="14"/>
      <c r="S17" s="15"/>
    </row>
    <row r="18" ht="45.95" customHeight="1">
      <c r="A18" s="19"/>
      <c r="B18" t="s" s="88">
        <v>37</v>
      </c>
      <c r="C18" s="89" cm="1">
        <f t="array" ref="C18">C17/$H$17</f>
      </c>
      <c r="D18" s="36" cm="1">
        <f t="array" ref="D18">D17/$H$17</f>
      </c>
      <c r="E18" s="36" cm="1">
        <f t="array" ref="E18">E17/$H$17</f>
      </c>
      <c r="F18" s="36" cm="1">
        <f t="array" ref="F18">F17/$H$17</f>
      </c>
      <c r="G18" s="36" cm="1">
        <f t="array" ref="G18">G17/$H$17</f>
      </c>
      <c r="H18" s="90" cm="1">
        <f t="array" ref="H18">H17/$H$17</f>
      </c>
      <c r="I18" s="82"/>
      <c r="J18" s="77"/>
      <c r="K18" s="77"/>
      <c r="L18" s="77"/>
      <c r="M18" s="77"/>
      <c r="N18" s="77"/>
      <c r="O18" s="77"/>
      <c r="P18" s="14"/>
      <c r="Q18" s="14"/>
      <c r="R18" s="14"/>
      <c r="S18" s="15"/>
    </row>
    <row r="19" ht="45.95" customHeight="1">
      <c r="A19" s="19"/>
      <c r="B19" t="s" s="91">
        <v>38</v>
      </c>
      <c r="C19" s="92" cm="1">
        <f t="array" ref="C19">C18*$D$5</f>
      </c>
      <c r="D19" s="93" cm="1">
        <f t="array" ref="D19">D18*$D$5</f>
      </c>
      <c r="E19" s="93" cm="1">
        <f t="array" ref="E19">E18*$D$5</f>
      </c>
      <c r="F19" s="93" cm="1">
        <f t="array" ref="F19">F18*$D$5</f>
      </c>
      <c r="G19" s="93" cm="1">
        <f t="array" ref="G19">G18*$D$5</f>
      </c>
      <c r="H19" s="49" cm="1">
        <f t="array" ref="H19">SUM(C19:G19)</f>
      </c>
      <c r="I19" s="82"/>
      <c r="J19" s="77"/>
      <c r="K19" s="77"/>
      <c r="L19" s="77"/>
      <c r="M19" s="77"/>
      <c r="N19" s="77"/>
      <c r="O19" s="77"/>
      <c r="P19" s="14"/>
      <c r="Q19" s="14"/>
      <c r="R19" s="14"/>
      <c r="S19" s="15"/>
    </row>
    <row r="20" ht="45.95" customHeight="1">
      <c r="A20" s="55"/>
      <c r="B20" s="56"/>
      <c r="C20" s="56"/>
      <c r="D20" s="56"/>
      <c r="E20" s="94"/>
      <c r="F20" s="94"/>
      <c r="G20" s="56"/>
      <c r="H20" s="56"/>
      <c r="I20" s="77"/>
      <c r="J20" s="77"/>
      <c r="K20" s="14"/>
      <c r="L20" s="14"/>
      <c r="M20" s="14"/>
      <c r="N20" s="14"/>
      <c r="O20" s="14"/>
      <c r="P20" s="14"/>
      <c r="Q20" s="14"/>
      <c r="R20" s="14"/>
      <c r="S20" s="15"/>
    </row>
    <row r="21" ht="35.25" customHeight="1">
      <c r="A21" s="5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14"/>
      <c r="N21" s="14"/>
      <c r="O21" s="14"/>
      <c r="P21" s="14"/>
      <c r="Q21" s="14"/>
      <c r="R21" s="14"/>
      <c r="S21" s="15"/>
    </row>
    <row r="22" ht="78.75" customHeight="1">
      <c r="A22" s="96"/>
      <c r="B22" t="s" s="97">
        <v>39</v>
      </c>
      <c r="C22" s="98"/>
      <c r="D22" t="s" s="97">
        <v>40</v>
      </c>
      <c r="E22" s="98"/>
      <c r="F22" t="s" s="97">
        <v>41</v>
      </c>
      <c r="G22" t="s" s="97">
        <v>42</v>
      </c>
      <c r="H22" s="98"/>
      <c r="I22" t="s" s="97">
        <v>43</v>
      </c>
      <c r="J22" s="98"/>
      <c r="K22" t="s" s="97">
        <v>44</v>
      </c>
      <c r="L22" t="s" s="97">
        <v>45</v>
      </c>
      <c r="M22" t="s" s="99">
        <v>46</v>
      </c>
      <c r="N22" s="100"/>
      <c r="O22" s="100"/>
      <c r="P22" s="100"/>
      <c r="Q22" s="14"/>
      <c r="R22" s="14"/>
      <c r="S22" s="15"/>
    </row>
    <row r="23" ht="45.95" customHeight="1">
      <c r="A23" s="96"/>
      <c r="B23" s="271" cm="1">
        <f t="array" ref="B23">'DOMINGO'!B23</f>
        <v>0</v>
      </c>
      <c r="C23" s="44"/>
      <c r="D23" s="101"/>
      <c r="E23" s="101"/>
      <c r="F23" s="102" cm="1">
        <f t="array" ref="F23">($D$5/$D$31)*D23</f>
      </c>
      <c r="G23" s="103" cm="1">
        <f t="array" ref="G23">(($D$8-$O$5)/$D$31)*D23</f>
      </c>
      <c r="H23" s="104"/>
      <c r="I23" s="105"/>
      <c r="J23" s="105"/>
      <c r="K23" s="105"/>
      <c r="L23" s="105"/>
      <c r="M23" s="106"/>
      <c r="N23" s="100"/>
      <c r="O23" s="100"/>
      <c r="P23" s="100"/>
      <c r="Q23" s="77"/>
      <c r="R23" s="14"/>
      <c r="S23" s="15"/>
    </row>
    <row r="24" ht="45.95" customHeight="1">
      <c r="A24" s="96"/>
      <c r="B24" s="271" cm="1">
        <f t="array" ref="B24">'DOMINGO'!B24</f>
        <v>0</v>
      </c>
      <c r="C24" s="44"/>
      <c r="D24" s="101"/>
      <c r="E24" s="101"/>
      <c r="F24" s="102" cm="1">
        <f t="array" ref="F24">($D$5/$D$31)*D24</f>
      </c>
      <c r="G24" s="103" cm="1">
        <f t="array" ref="G24">(($D$8-$O$5)/$D$31)*D24</f>
      </c>
      <c r="H24" s="104"/>
      <c r="I24" s="105"/>
      <c r="J24" s="105"/>
      <c r="K24" s="105"/>
      <c r="L24" s="105"/>
      <c r="M24" s="106"/>
      <c r="N24" s="100"/>
      <c r="O24" s="100"/>
      <c r="P24" s="100"/>
      <c r="Q24" s="107"/>
      <c r="R24" s="14"/>
      <c r="S24" s="15"/>
    </row>
    <row r="25" ht="45.95" customHeight="1">
      <c r="A25" s="96"/>
      <c r="B25" s="271" cm="1">
        <f t="array" ref="B25">'DOMINGO'!B25</f>
        <v>0</v>
      </c>
      <c r="C25" s="44"/>
      <c r="D25" s="109"/>
      <c r="E25" s="110"/>
      <c r="F25" s="102" cm="1">
        <f t="array" ref="F25">($D$5/$D$31)*D25</f>
      </c>
      <c r="G25" s="103" cm="1">
        <f t="array" ref="G25">(($D$8-$O$5)/$D$31)*D25</f>
      </c>
      <c r="H25" s="104"/>
      <c r="I25" s="105"/>
      <c r="J25" s="44"/>
      <c r="K25" s="105"/>
      <c r="L25" s="105"/>
      <c r="M25" s="106"/>
      <c r="N25" s="100"/>
      <c r="O25" s="100"/>
      <c r="P25" s="100"/>
      <c r="Q25" s="107"/>
      <c r="R25" s="14"/>
      <c r="S25" s="15"/>
    </row>
    <row r="26" ht="45.95" customHeight="1">
      <c r="A26" s="96"/>
      <c r="B26" s="271" cm="1">
        <f t="array" ref="B26">'DOMINGO'!B26</f>
        <v>0</v>
      </c>
      <c r="C26" s="44"/>
      <c r="D26" s="109"/>
      <c r="E26" s="110"/>
      <c r="F26" s="102" cm="1">
        <f t="array" ref="F26">($D$5/$D$31)*D26</f>
      </c>
      <c r="G26" s="103" cm="1">
        <f t="array" ref="G26">(($D$8-$O$5)/$D$31)*D26</f>
      </c>
      <c r="H26" s="104"/>
      <c r="I26" s="105"/>
      <c r="J26" s="44"/>
      <c r="K26" s="105"/>
      <c r="L26" s="105"/>
      <c r="M26" s="106"/>
      <c r="N26" s="100"/>
      <c r="O26" s="100"/>
      <c r="P26" s="100"/>
      <c r="Q26" s="107"/>
      <c r="R26" s="14"/>
      <c r="S26" s="15"/>
    </row>
    <row r="27" ht="45.95" customHeight="1">
      <c r="A27" s="96"/>
      <c r="B27" s="271" cm="1">
        <f t="array" ref="B27">'DOMINGO'!B27</f>
        <v>0</v>
      </c>
      <c r="C27" s="44"/>
      <c r="D27" s="109"/>
      <c r="E27" s="110"/>
      <c r="F27" s="102" cm="1">
        <f t="array" ref="F27">($D$5/$D$31)*D27</f>
      </c>
      <c r="G27" s="103" cm="1">
        <f t="array" ref="G27">(($D$8-$O$5)/$D$31)*D27</f>
      </c>
      <c r="H27" s="104"/>
      <c r="I27" s="105"/>
      <c r="J27" s="44"/>
      <c r="K27" s="105"/>
      <c r="L27" s="105"/>
      <c r="M27" s="106"/>
      <c r="N27" s="100"/>
      <c r="O27" s="100"/>
      <c r="P27" s="100"/>
      <c r="Q27" s="107"/>
      <c r="R27" s="14"/>
      <c r="S27" s="15"/>
    </row>
    <row r="28" ht="45.95" customHeight="1">
      <c r="A28" s="96"/>
      <c r="B28" s="271" cm="1">
        <f t="array" ref="B28">'DOMINGO'!B28</f>
        <v>0</v>
      </c>
      <c r="C28" s="44"/>
      <c r="D28" s="109"/>
      <c r="E28" s="110"/>
      <c r="F28" s="102" cm="1">
        <f t="array" ref="F28">($D$5/$D$31)*D28</f>
      </c>
      <c r="G28" s="103" cm="1">
        <f t="array" ref="G28">(($D$8-$O$5)/$D$31)*D28</f>
      </c>
      <c r="H28" s="104"/>
      <c r="I28" s="105"/>
      <c r="J28" s="44"/>
      <c r="K28" s="105"/>
      <c r="L28" s="105"/>
      <c r="M28" s="106"/>
      <c r="N28" s="100"/>
      <c r="O28" s="100"/>
      <c r="P28" s="100"/>
      <c r="Q28" s="107"/>
      <c r="R28" s="14"/>
      <c r="S28" s="15"/>
    </row>
    <row r="29" ht="45.95" customHeight="1">
      <c r="A29" s="96"/>
      <c r="B29" s="271" cm="1">
        <f t="array" ref="B29">'DOMINGO'!B29</f>
        <v>0</v>
      </c>
      <c r="C29" s="44"/>
      <c r="D29" s="109"/>
      <c r="E29" s="110"/>
      <c r="F29" s="102" cm="1">
        <f t="array" ref="F29">($D$5/$D$31)*D29</f>
      </c>
      <c r="G29" s="103" cm="1">
        <f t="array" ref="G29">(($D$8-$O$5)/$D$31)*D29</f>
      </c>
      <c r="H29" s="104"/>
      <c r="I29" s="105"/>
      <c r="J29" s="44"/>
      <c r="K29" s="105"/>
      <c r="L29" s="105"/>
      <c r="M29" s="106"/>
      <c r="N29" s="100"/>
      <c r="O29" s="100"/>
      <c r="P29" s="100"/>
      <c r="Q29" s="107"/>
      <c r="R29" s="14"/>
      <c r="S29" s="15"/>
    </row>
    <row r="30" ht="45.95" customHeight="1">
      <c r="A30" s="96"/>
      <c r="B30" s="271" cm="1">
        <f t="array" ref="B30">'DOMINGO'!B30</f>
        <v>0</v>
      </c>
      <c r="C30" s="44"/>
      <c r="D30" s="101"/>
      <c r="E30" s="101"/>
      <c r="F30" s="102" cm="1">
        <f t="array" ref="F30">($D$5/$D$31)*D30</f>
      </c>
      <c r="G30" s="103" cm="1">
        <f t="array" ref="G30">(($D$8-$O$5)/$D$31)*D30</f>
      </c>
      <c r="H30" s="104"/>
      <c r="I30" s="105"/>
      <c r="J30" s="105"/>
      <c r="K30" s="105"/>
      <c r="L30" s="105"/>
      <c r="M30" s="106"/>
      <c r="N30" s="100"/>
      <c r="O30" s="100"/>
      <c r="P30" s="100"/>
      <c r="Q30" s="77"/>
      <c r="R30" s="14"/>
      <c r="S30" s="15"/>
    </row>
    <row r="31" ht="45.95" customHeight="1">
      <c r="A31" s="96"/>
      <c r="B31" t="s" s="111">
        <v>35</v>
      </c>
      <c r="C31" s="112"/>
      <c r="D31" s="102" cm="1">
        <f t="array" ref="D31">SUM(D23:D30)</f>
        <v>0</v>
      </c>
      <c r="E31" s="102"/>
      <c r="F31" s="102" cm="1">
        <f t="array" ref="F31">SUM(F23:F30)</f>
      </c>
      <c r="G31" s="103" cm="1">
        <f t="array" ref="G31">SUM(G23:H30)</f>
      </c>
      <c r="H31" s="104"/>
      <c r="I31" s="102" cm="1">
        <f t="array" ref="I31">SUM(I23:I30)</f>
        <v>0</v>
      </c>
      <c r="J31" s="102"/>
      <c r="K31" s="102" cm="1">
        <f t="array" ref="K31">O6</f>
      </c>
      <c r="L31" s="102" cm="1">
        <f t="array" ref="L31">O7</f>
      </c>
      <c r="M31" s="106"/>
      <c r="N31" s="100"/>
      <c r="O31" s="100"/>
      <c r="P31" s="100"/>
      <c r="Q31" s="77"/>
      <c r="R31" s="14"/>
      <c r="S31" s="15"/>
    </row>
    <row r="32" ht="45.95" customHeight="1">
      <c r="A32" s="113"/>
      <c r="B32" s="51"/>
      <c r="C32" s="58"/>
      <c r="D32" s="51"/>
      <c r="E32" s="51"/>
      <c r="F32" s="51"/>
      <c r="G32" s="51"/>
      <c r="H32" s="51"/>
      <c r="I32" s="114"/>
      <c r="J32" s="114"/>
      <c r="K32" s="114"/>
      <c r="L32" s="114"/>
      <c r="M32" s="115"/>
      <c r="N32" s="115"/>
      <c r="O32" s="115"/>
      <c r="P32" s="58"/>
      <c r="Q32" s="14"/>
      <c r="R32" s="14"/>
      <c r="S32" s="15"/>
    </row>
    <row r="33" ht="62.25" customHeight="1">
      <c r="A33" t="s" s="116">
        <v>47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73"/>
      <c r="Q33" s="118"/>
      <c r="R33" s="119"/>
      <c r="S33" s="15"/>
    </row>
    <row r="34" ht="56.45" customHeight="1">
      <c r="A34" s="120"/>
      <c r="B34" s="121"/>
      <c r="C34" s="121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56"/>
      <c r="O34" s="56"/>
      <c r="P34" s="56"/>
      <c r="Q34" s="14"/>
      <c r="R34" s="14"/>
      <c r="S34" s="15"/>
    </row>
    <row r="35" ht="73.5" customHeight="1">
      <c r="A35" s="122"/>
      <c r="B35" t="s" s="123">
        <v>48</v>
      </c>
      <c r="C35" s="124"/>
      <c r="D35" t="s" s="125">
        <v>49</v>
      </c>
      <c r="E35" t="s" s="126">
        <v>50</v>
      </c>
      <c r="F35" t="s" s="127">
        <v>51</v>
      </c>
      <c r="G35" t="s" s="126">
        <v>52</v>
      </c>
      <c r="H35" t="s" s="127">
        <v>53</v>
      </c>
      <c r="I35" t="s" s="128">
        <v>54</v>
      </c>
      <c r="J35" s="129"/>
      <c r="K35" t="s" s="130">
        <v>55</v>
      </c>
      <c r="L35" t="s" s="130">
        <v>56</v>
      </c>
      <c r="M35" t="s" s="130">
        <v>57</v>
      </c>
      <c r="N35" t="s" s="131">
        <v>58</v>
      </c>
      <c r="O35" s="132"/>
      <c r="P35" t="s" s="133">
        <v>59</v>
      </c>
      <c r="Q35" s="14"/>
      <c r="R35" s="14"/>
      <c r="S35" s="15"/>
    </row>
    <row r="36" ht="27" customHeight="1">
      <c r="A36" s="122"/>
      <c r="B36" s="134"/>
      <c r="C36" s="135"/>
      <c r="D36" s="136" cm="1">
        <f t="array" ref="D36">D5</f>
        <v>0</v>
      </c>
      <c r="E36" s="137" cm="1">
        <f t="array" ref="E36">H48</f>
        <v>0</v>
      </c>
      <c r="F36" s="137" cm="1">
        <f t="array" ref="F36">D8</f>
      </c>
      <c r="G36" s="137" cm="1">
        <f t="array" ref="G36">I48+K48</f>
        <v>0</v>
      </c>
      <c r="H36" s="138" cm="1">
        <f t="array" ref="H36">F48/E48</f>
      </c>
      <c r="I36" s="139" cm="1">
        <f t="array" ref="I36">H36-J6</f>
      </c>
      <c r="J36" s="140"/>
      <c r="K36" s="139" cm="1">
        <f t="array" ref="K36">K48/G36</f>
      </c>
      <c r="L36" s="140" cm="1">
        <f t="array" ref="L36">M48/G36</f>
      </c>
      <c r="M36" s="141" cm="1">
        <f t="array" ref="M36">N48/G36</f>
      </c>
      <c r="N36" s="142"/>
      <c r="O36" s="14"/>
      <c r="P36" s="14"/>
      <c r="Q36" s="14"/>
      <c r="R36" s="14"/>
      <c r="S36" s="15"/>
    </row>
    <row r="37" ht="15.6" customHeight="1">
      <c r="A37" s="55"/>
      <c r="B37" s="18"/>
      <c r="C37" s="18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14"/>
      <c r="O37" s="14"/>
      <c r="P37" s="14"/>
      <c r="Q37" s="14"/>
      <c r="R37" s="14"/>
      <c r="S37" s="15"/>
    </row>
    <row r="38" ht="15.6" customHeight="1">
      <c r="A38" s="55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"/>
      <c r="P38" s="14"/>
      <c r="Q38" s="14"/>
      <c r="R38" s="14"/>
      <c r="S38" s="15"/>
    </row>
    <row r="39" ht="57.95" customHeight="1">
      <c r="A39" s="122"/>
      <c r="B39" t="s" s="144">
        <v>60</v>
      </c>
      <c r="C39" s="145"/>
      <c r="D39" t="s" s="146">
        <v>40</v>
      </c>
      <c r="E39" t="s" s="146">
        <v>61</v>
      </c>
      <c r="F39" t="s" s="146">
        <v>62</v>
      </c>
      <c r="G39" t="s" s="146">
        <v>63</v>
      </c>
      <c r="H39" t="s" s="146">
        <v>64</v>
      </c>
      <c r="I39" t="s" s="146">
        <v>65</v>
      </c>
      <c r="J39" t="s" s="146">
        <v>66</v>
      </c>
      <c r="K39" t="s" s="146">
        <v>67</v>
      </c>
      <c r="L39" t="s" s="146">
        <v>68</v>
      </c>
      <c r="M39" t="s" s="146">
        <v>69</v>
      </c>
      <c r="N39" t="s" s="147">
        <v>70</v>
      </c>
      <c r="O39" s="13"/>
      <c r="P39" s="14"/>
      <c r="Q39" s="14"/>
      <c r="R39" t="s" s="148">
        <v>71</v>
      </c>
      <c r="S39" s="15"/>
    </row>
    <row r="40" ht="45.95" customHeight="1">
      <c r="A40" s="122"/>
      <c r="B40" s="149" cm="1">
        <f t="array" ref="B40">B23</f>
        <v>0</v>
      </c>
      <c r="C40" s="150"/>
      <c r="D40" s="151" cm="1">
        <f t="array" ref="D40">D23</f>
        <v>0</v>
      </c>
      <c r="E40" s="152"/>
      <c r="F40" s="153"/>
      <c r="G40" t="str" s="150" cm="1">
        <f t="array" ref="G40">_xlfn.IFERROR(F40/E40,"0")</f>
        <v>0</v>
      </c>
      <c r="H40" s="153"/>
      <c r="I40" s="153"/>
      <c r="J40" s="153"/>
      <c r="K40" s="153"/>
      <c r="L40" t="str" s="150" cm="1">
        <f t="array" ref="L40">_xlfn.IFERROR(K40/J40,"0")</f>
        <v>0</v>
      </c>
      <c r="M40" s="153"/>
      <c r="N40" s="154"/>
      <c r="O40" s="13"/>
      <c r="P40" s="14"/>
      <c r="Q40" s="14"/>
      <c r="R40" s="14"/>
      <c r="S40" s="15"/>
    </row>
    <row r="41" ht="45.95" customHeight="1">
      <c r="A41" s="122"/>
      <c r="B41" s="149" cm="1">
        <f t="array" ref="B41">B24</f>
        <v>0</v>
      </c>
      <c r="C41" s="150"/>
      <c r="D41" s="151" cm="1">
        <f t="array" ref="D41">D24</f>
        <v>0</v>
      </c>
      <c r="E41" s="152"/>
      <c r="F41" s="153"/>
      <c r="G41" t="str" s="150" cm="1">
        <f t="array" ref="G41">_xlfn.IFERROR(F41/E41,"0")</f>
        <v>0</v>
      </c>
      <c r="H41" s="153"/>
      <c r="I41" s="153"/>
      <c r="J41" s="153"/>
      <c r="K41" s="153"/>
      <c r="L41" t="str" s="150" cm="1">
        <f t="array" ref="L41">_xlfn.IFERROR(K41/J41,"0")</f>
        <v>0</v>
      </c>
      <c r="M41" s="153"/>
      <c r="N41" s="154"/>
      <c r="O41" s="13"/>
      <c r="P41" s="14"/>
      <c r="Q41" s="14"/>
      <c r="R41" s="14"/>
      <c r="S41" s="15"/>
    </row>
    <row r="42" ht="45.95" customHeight="1">
      <c r="A42" s="122"/>
      <c r="B42" s="149" cm="1">
        <f t="array" ref="B42">B25</f>
        <v>0</v>
      </c>
      <c r="C42" s="150"/>
      <c r="D42" s="151" cm="1">
        <f t="array" ref="D42">D25</f>
        <v>0</v>
      </c>
      <c r="E42" s="152"/>
      <c r="F42" s="153"/>
      <c r="G42" t="str" s="150" cm="1">
        <f t="array" ref="G42">_xlfn.IFERROR(F42/E42,"0")</f>
        <v>0</v>
      </c>
      <c r="H42" s="153"/>
      <c r="I42" s="153"/>
      <c r="J42" s="153"/>
      <c r="K42" s="153"/>
      <c r="L42" t="str" s="150" cm="1">
        <f t="array" ref="L42">_xlfn.IFERROR(K42/J42,"0")</f>
        <v>0</v>
      </c>
      <c r="M42" s="153"/>
      <c r="N42" s="154"/>
      <c r="O42" s="13"/>
      <c r="P42" s="14"/>
      <c r="Q42" s="14"/>
      <c r="R42" s="14"/>
      <c r="S42" s="15"/>
    </row>
    <row r="43" ht="45.95" customHeight="1">
      <c r="A43" s="122"/>
      <c r="B43" s="149" cm="1">
        <f t="array" ref="B43">B26</f>
        <v>0</v>
      </c>
      <c r="C43" s="153"/>
      <c r="D43" s="151" cm="1">
        <f t="array" ref="D43">D26</f>
        <v>0</v>
      </c>
      <c r="E43" s="152"/>
      <c r="F43" s="153"/>
      <c r="G43" t="str" s="150" cm="1">
        <f t="array" ref="G43">_xlfn.IFERROR(F43/E43,"0")</f>
        <v>0</v>
      </c>
      <c r="H43" s="153"/>
      <c r="I43" s="153"/>
      <c r="J43" s="153"/>
      <c r="K43" s="153"/>
      <c r="L43" t="str" s="150" cm="1">
        <f t="array" ref="L43">_xlfn.IFERROR(K43/J43,"0")</f>
        <v>0</v>
      </c>
      <c r="M43" s="153"/>
      <c r="N43" s="154"/>
      <c r="O43" s="13"/>
      <c r="P43" s="14"/>
      <c r="Q43" s="14"/>
      <c r="R43" s="14"/>
      <c r="S43" s="15"/>
    </row>
    <row r="44" ht="45.95" customHeight="1">
      <c r="A44" s="122"/>
      <c r="B44" s="149" cm="1">
        <f t="array" ref="B44">B27</f>
        <v>0</v>
      </c>
      <c r="C44" s="153"/>
      <c r="D44" s="151" cm="1">
        <f t="array" ref="D44">D27</f>
        <v>0</v>
      </c>
      <c r="E44" s="152"/>
      <c r="F44" s="153"/>
      <c r="G44" t="str" s="150" cm="1">
        <f t="array" ref="G44">_xlfn.IFERROR(F44/E44,"0")</f>
        <v>0</v>
      </c>
      <c r="H44" s="153"/>
      <c r="I44" s="153"/>
      <c r="J44" s="153"/>
      <c r="K44" s="153"/>
      <c r="L44" t="str" s="150" cm="1">
        <f t="array" ref="L44">_xlfn.IFERROR(K44/J44,"0")</f>
        <v>0</v>
      </c>
      <c r="M44" s="153"/>
      <c r="N44" s="154"/>
      <c r="O44" s="13"/>
      <c r="P44" s="14"/>
      <c r="Q44" s="14"/>
      <c r="R44" s="14"/>
      <c r="S44" s="15"/>
    </row>
    <row r="45" ht="45.95" customHeight="1">
      <c r="A45" s="122"/>
      <c r="B45" s="149" cm="1">
        <f t="array" ref="B45">B28</f>
        <v>0</v>
      </c>
      <c r="C45" s="153"/>
      <c r="D45" s="151" cm="1">
        <f t="array" ref="D45">D28</f>
        <v>0</v>
      </c>
      <c r="E45" s="152"/>
      <c r="F45" s="153"/>
      <c r="G45" t="str" s="150" cm="1">
        <f t="array" ref="G45">_xlfn.IFERROR(F45/E45,"0")</f>
        <v>0</v>
      </c>
      <c r="H45" s="153"/>
      <c r="I45" s="153"/>
      <c r="J45" s="153"/>
      <c r="K45" s="153"/>
      <c r="L45" t="str" s="150" cm="1">
        <f t="array" ref="L45">_xlfn.IFERROR(K45/J45,"0")</f>
        <v>0</v>
      </c>
      <c r="M45" s="153"/>
      <c r="N45" s="154"/>
      <c r="O45" s="13"/>
      <c r="P45" s="14"/>
      <c r="Q45" s="14"/>
      <c r="R45" s="14"/>
      <c r="S45" s="15"/>
    </row>
    <row r="46" ht="45.95" customHeight="1">
      <c r="A46" s="122"/>
      <c r="B46" s="149" cm="1">
        <f t="array" ref="B46">B29</f>
        <v>0</v>
      </c>
      <c r="C46" s="153"/>
      <c r="D46" s="151" cm="1">
        <f t="array" ref="D46">D29</f>
        <v>0</v>
      </c>
      <c r="E46" s="152"/>
      <c r="F46" s="153"/>
      <c r="G46" t="str" s="150" cm="1">
        <f t="array" ref="G46">_xlfn.IFERROR(F46/E46,"0")</f>
        <v>0</v>
      </c>
      <c r="H46" s="153"/>
      <c r="I46" s="153"/>
      <c r="J46" s="153"/>
      <c r="K46" s="153"/>
      <c r="L46" t="str" s="150" cm="1">
        <f t="array" ref="L46">_xlfn.IFERROR(K46/J46,"0")</f>
        <v>0</v>
      </c>
      <c r="M46" s="153"/>
      <c r="N46" s="154"/>
      <c r="O46" s="13"/>
      <c r="P46" s="14"/>
      <c r="Q46" s="14"/>
      <c r="R46" s="14"/>
      <c r="S46" s="15"/>
    </row>
    <row r="47" ht="45.95" customHeight="1">
      <c r="A47" s="122"/>
      <c r="B47" s="149" cm="1">
        <f t="array" ref="B47">B30</f>
        <v>0</v>
      </c>
      <c r="C47" s="153"/>
      <c r="D47" s="151" cm="1">
        <f t="array" ref="D47">D30</f>
        <v>0</v>
      </c>
      <c r="E47" s="152"/>
      <c r="F47" s="153"/>
      <c r="G47" t="str" s="150" cm="1">
        <f t="array" ref="G47">_xlfn.IFERROR(F47/E47,"0")</f>
        <v>0</v>
      </c>
      <c r="H47" s="153"/>
      <c r="I47" s="153"/>
      <c r="J47" s="153"/>
      <c r="K47" s="153"/>
      <c r="L47" t="str" s="150" cm="1">
        <f t="array" ref="L47">_xlfn.IFERROR(K47/J47,"0")</f>
        <v>0</v>
      </c>
      <c r="M47" s="153"/>
      <c r="N47" s="154"/>
      <c r="O47" s="13"/>
      <c r="P47" s="14"/>
      <c r="Q47" s="14"/>
      <c r="R47" s="14"/>
      <c r="S47" s="15"/>
    </row>
    <row r="48" ht="45.95" customHeight="1">
      <c r="A48" s="155"/>
      <c r="B48" t="s" s="156">
        <v>35</v>
      </c>
      <c r="C48" s="157"/>
      <c r="D48" s="158" cm="1">
        <f t="array" ref="D48">SUM(D40:D42)</f>
        <v>0</v>
      </c>
      <c r="E48" s="159" cm="1">
        <f t="array" ref="E48">SUM(E40:E47)</f>
        <v>0</v>
      </c>
      <c r="F48" s="159" cm="1">
        <f t="array" ref="F48">SUM(F40:F47)</f>
        <v>0</v>
      </c>
      <c r="G48" t="str" s="157" cm="1">
        <f t="array" ref="G48">_xlfn.IFERROR(F48/E48,"0")</f>
        <v>0</v>
      </c>
      <c r="H48" s="159" cm="1">
        <f t="array" ref="H48">SUM(H40:H47)</f>
        <v>0</v>
      </c>
      <c r="I48" s="159" cm="1">
        <f t="array" ref="I48">SUM(I40:I47)</f>
        <v>0</v>
      </c>
      <c r="J48" s="159" cm="1">
        <f t="array" ref="J48">SUM(J40:J47)</f>
        <v>0</v>
      </c>
      <c r="K48" s="159" cm="1">
        <f t="array" ref="K48">SUM(K40:K47)</f>
        <v>0</v>
      </c>
      <c r="L48" t="str" s="157" cm="1">
        <f t="array" ref="L48">_xlfn.IFERROR(K48/J48,"0")</f>
        <v>0</v>
      </c>
      <c r="M48" s="159" cm="1">
        <f t="array" ref="M48">SUM(M40:M47)</f>
        <v>0</v>
      </c>
      <c r="N48" s="159" cm="1">
        <f t="array" ref="N48">SUM(N40:N47)</f>
        <v>0</v>
      </c>
      <c r="O48" s="160"/>
      <c r="P48" s="161"/>
      <c r="Q48" s="162">
        <v>3</v>
      </c>
      <c r="R48" s="161"/>
      <c r="S48" s="163"/>
    </row>
  </sheetData>
  <mergeCells count="90">
    <mergeCell ref="N12:O12"/>
    <mergeCell ref="B42:C42"/>
    <mergeCell ref="B41:C41"/>
    <mergeCell ref="B39:C39"/>
    <mergeCell ref="B40:C40"/>
    <mergeCell ref="B35:C36"/>
    <mergeCell ref="I35:J35"/>
    <mergeCell ref="I36:J36"/>
    <mergeCell ref="D25:E25"/>
    <mergeCell ref="D26:E26"/>
    <mergeCell ref="D27:E27"/>
    <mergeCell ref="C1:E1"/>
    <mergeCell ref="B4:D4"/>
    <mergeCell ref="B5:C5"/>
    <mergeCell ref="B6:C6"/>
    <mergeCell ref="B7:C7"/>
    <mergeCell ref="B48:C48"/>
    <mergeCell ref="L10:M10"/>
    <mergeCell ref="N10:O10"/>
    <mergeCell ref="B11:E11"/>
    <mergeCell ref="A33:P33"/>
    <mergeCell ref="M22:P31"/>
    <mergeCell ref="B22:C22"/>
    <mergeCell ref="B31:C31"/>
    <mergeCell ref="L12:M12"/>
    <mergeCell ref="L11:M11"/>
    <mergeCell ref="N11:O11"/>
    <mergeCell ref="L14:M14"/>
    <mergeCell ref="N14:O14"/>
    <mergeCell ref="L8:O8"/>
    <mergeCell ref="L4:N4"/>
    <mergeCell ref="L5:M5"/>
    <mergeCell ref="L6:M6"/>
    <mergeCell ref="L7:M7"/>
    <mergeCell ref="G11:J11"/>
    <mergeCell ref="D12:E12"/>
    <mergeCell ref="D13:E13"/>
    <mergeCell ref="I12:J12"/>
    <mergeCell ref="G4:J4"/>
    <mergeCell ref="G5:I5"/>
    <mergeCell ref="G6:I6"/>
    <mergeCell ref="G7:I7"/>
    <mergeCell ref="G8:I8"/>
    <mergeCell ref="I30:J30"/>
    <mergeCell ref="I31:J31"/>
    <mergeCell ref="D24:E24"/>
    <mergeCell ref="D30:E30"/>
    <mergeCell ref="D31:E31"/>
    <mergeCell ref="G31:H31"/>
    <mergeCell ref="D28:E28"/>
    <mergeCell ref="D29:E29"/>
    <mergeCell ref="O1:P1"/>
    <mergeCell ref="A2:P2"/>
    <mergeCell ref="I24:J24"/>
    <mergeCell ref="G22:H22"/>
    <mergeCell ref="B12:C12"/>
    <mergeCell ref="D22:E22"/>
    <mergeCell ref="D23:E23"/>
    <mergeCell ref="G9:J9"/>
    <mergeCell ref="B8:C8"/>
    <mergeCell ref="I22:J22"/>
    <mergeCell ref="I23:J23"/>
    <mergeCell ref="B13:C13"/>
    <mergeCell ref="G12:H12"/>
    <mergeCell ref="I25:J25"/>
    <mergeCell ref="I26:J26"/>
    <mergeCell ref="I27:J27"/>
    <mergeCell ref="I28:J28"/>
    <mergeCell ref="I29:J29"/>
    <mergeCell ref="B47:C47"/>
    <mergeCell ref="B46:C46"/>
    <mergeCell ref="B45:C45"/>
    <mergeCell ref="B44:C44"/>
    <mergeCell ref="B43:C43"/>
    <mergeCell ref="G30:H30"/>
    <mergeCell ref="G29:H29"/>
    <mergeCell ref="G28:H28"/>
    <mergeCell ref="G27:H27"/>
    <mergeCell ref="G26:H26"/>
    <mergeCell ref="G25:H25"/>
    <mergeCell ref="G24:H24"/>
    <mergeCell ref="G23:H23"/>
    <mergeCell ref="B30:C30"/>
    <mergeCell ref="B29:C29"/>
    <mergeCell ref="B28:C28"/>
    <mergeCell ref="B27:C27"/>
    <mergeCell ref="B26:C26"/>
    <mergeCell ref="B25:C25"/>
    <mergeCell ref="B24:C24"/>
    <mergeCell ref="B23:C23"/>
  </mergeCells>
  <pageMargins left="0.25" right="0.25" top="0.32" bottom="0.29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HR36"/>
  <sheetViews>
    <sheetView workbookViewId="0" showGridLines="0" defaultGridColor="1"/>
  </sheetViews>
  <sheetFormatPr defaultColWidth="16.1667" defaultRowHeight="54.75" customHeight="1" outlineLevelRow="0" outlineLevelCol="0"/>
  <cols>
    <col min="1" max="226" width="16.1719" style="278" customWidth="1"/>
    <col min="227" max="16384" width="16.1719" style="278" customWidth="1"/>
  </cols>
  <sheetData>
    <row r="1" ht="94.5" customHeight="1">
      <c r="A1" s="165"/>
      <c r="B1" s="166"/>
      <c r="C1" t="s" s="167">
        <v>73</v>
      </c>
      <c r="D1" s="168"/>
      <c r="E1" s="168"/>
      <c r="F1" s="168"/>
      <c r="G1" s="168"/>
      <c r="H1" s="169"/>
      <c r="I1" t="s" s="170">
        <v>1</v>
      </c>
      <c r="J1" s="171"/>
      <c r="K1" t="s" s="172">
        <v>2</v>
      </c>
      <c r="L1" s="173"/>
      <c r="M1" s="174"/>
      <c r="N1" t="s" s="175">
        <v>4</v>
      </c>
      <c r="O1" s="176"/>
      <c r="P1" s="177"/>
      <c r="Q1" s="178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80"/>
    </row>
    <row r="2" ht="54.75" customHeight="1">
      <c r="A2" t="s" s="181">
        <v>74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3"/>
      <c r="Q2" s="184"/>
      <c r="R2" s="185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7"/>
    </row>
    <row r="3" ht="54.75" customHeight="1">
      <c r="A3" s="188"/>
      <c r="B3" s="189"/>
      <c r="C3" s="189"/>
      <c r="D3" s="189"/>
      <c r="E3" s="189"/>
      <c r="F3" s="189"/>
      <c r="G3" s="190"/>
      <c r="H3" s="190"/>
      <c r="I3" s="189"/>
      <c r="J3" s="189"/>
      <c r="K3" s="189"/>
      <c r="L3" s="189"/>
      <c r="M3" s="189"/>
      <c r="N3" s="189"/>
      <c r="O3" s="189"/>
      <c r="P3" s="189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7"/>
    </row>
    <row r="4" ht="54.75" customHeight="1">
      <c r="A4" s="191"/>
      <c r="B4" t="s" s="192">
        <v>40</v>
      </c>
      <c r="C4" t="s" s="193">
        <v>75</v>
      </c>
      <c r="D4" t="s" s="193">
        <v>76</v>
      </c>
      <c r="E4" t="s" s="193">
        <v>77</v>
      </c>
      <c r="F4" t="s" s="194">
        <v>78</v>
      </c>
      <c r="G4" s="195"/>
      <c r="H4" s="196"/>
      <c r="I4" t="s" s="197">
        <v>79</v>
      </c>
      <c r="J4" s="198"/>
      <c r="K4" s="198"/>
      <c r="L4" s="198"/>
      <c r="M4" s="198"/>
      <c r="N4" s="198"/>
      <c r="O4" s="198"/>
      <c r="P4" s="199"/>
      <c r="Q4" s="195"/>
      <c r="R4" s="200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  <c r="FD4" s="186"/>
      <c r="FE4" s="186"/>
      <c r="FF4" s="186"/>
      <c r="FG4" s="186"/>
      <c r="FH4" s="186"/>
      <c r="FI4" s="186"/>
      <c r="FJ4" s="186"/>
      <c r="FK4" s="186"/>
      <c r="FL4" s="186"/>
      <c r="FM4" s="186"/>
      <c r="FN4" s="186"/>
      <c r="FO4" s="186"/>
      <c r="FP4" s="186"/>
      <c r="FQ4" s="186"/>
      <c r="FR4" s="186"/>
      <c r="FS4" s="186"/>
      <c r="FT4" s="186"/>
      <c r="FU4" s="186"/>
      <c r="FV4" s="186"/>
      <c r="FW4" s="186"/>
      <c r="FX4" s="186"/>
      <c r="FY4" s="186"/>
      <c r="FZ4" s="186"/>
      <c r="GA4" s="186"/>
      <c r="GB4" s="186"/>
      <c r="GC4" s="186"/>
      <c r="GD4" s="186"/>
      <c r="GE4" s="186"/>
      <c r="GF4" s="186"/>
      <c r="GG4" s="186"/>
      <c r="GH4" s="186"/>
      <c r="GI4" s="186"/>
      <c r="GJ4" s="186"/>
      <c r="GK4" s="186"/>
      <c r="GL4" s="186"/>
      <c r="GM4" s="186"/>
      <c r="GN4" s="186"/>
      <c r="GO4" s="186"/>
      <c r="GP4" s="186"/>
      <c r="GQ4" s="186"/>
      <c r="GR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  <c r="HL4" s="186"/>
      <c r="HM4" s="186"/>
      <c r="HN4" s="186"/>
      <c r="HO4" s="186"/>
      <c r="HP4" s="186"/>
      <c r="HQ4" s="186"/>
      <c r="HR4" s="187"/>
    </row>
    <row r="5" ht="54.75" customHeight="1">
      <c r="A5" s="191"/>
      <c r="B5" s="201" cm="1">
        <f t="array" ref="B5">'MIÉRCOLES'!D31</f>
        <v>0</v>
      </c>
      <c r="C5" s="202" cm="1">
        <f t="array" ref="C5">'MIÉRCOLES'!D5</f>
        <v>0</v>
      </c>
      <c r="D5" s="202" cm="1">
        <f t="array" ref="D5">'MIÉRCOLES'!D8</f>
      </c>
      <c r="E5" s="202" cm="1">
        <f t="array" ref="E5">'MIÉRCOLES'!D12</f>
      </c>
      <c r="F5" s="203" cm="1">
        <f t="array" ref="F5">'MIÉRCOLES'!D13</f>
      </c>
      <c r="G5" s="195"/>
      <c r="H5" s="196"/>
      <c r="I5" s="204"/>
      <c r="J5" s="205"/>
      <c r="K5" s="205"/>
      <c r="L5" s="205"/>
      <c r="M5" s="205"/>
      <c r="N5" s="205"/>
      <c r="O5" s="205"/>
      <c r="P5" s="206"/>
      <c r="Q5" s="195"/>
      <c r="R5" s="200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/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/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86"/>
      <c r="GI5" s="186"/>
      <c r="GJ5" s="186"/>
      <c r="GK5" s="186"/>
      <c r="GL5" s="186"/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/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7"/>
    </row>
    <row r="6" ht="54.75" customHeight="1">
      <c r="A6" s="207"/>
      <c r="B6" s="208"/>
      <c r="C6" s="208"/>
      <c r="D6" s="208"/>
      <c r="E6" s="208"/>
      <c r="F6" s="208"/>
      <c r="G6" s="186"/>
      <c r="H6" s="186"/>
      <c r="I6" s="208"/>
      <c r="J6" s="208"/>
      <c r="K6" s="208"/>
      <c r="L6" s="208"/>
      <c r="M6" s="208"/>
      <c r="N6" s="208"/>
      <c r="O6" s="208"/>
      <c r="P6" s="208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/>
      <c r="ET6" s="186"/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/>
      <c r="HC6" s="186"/>
      <c r="HD6" s="186"/>
      <c r="HE6" s="186"/>
      <c r="HF6" s="186"/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7"/>
    </row>
    <row r="7" ht="54.75" customHeight="1">
      <c r="A7" s="191"/>
      <c r="B7" t="s" s="209">
        <v>80</v>
      </c>
      <c r="C7" s="210"/>
      <c r="D7" s="210"/>
      <c r="E7" s="210"/>
      <c r="F7" s="211"/>
      <c r="G7" s="195"/>
      <c r="H7" s="196"/>
      <c r="I7" t="s" s="209">
        <v>81</v>
      </c>
      <c r="J7" s="210"/>
      <c r="K7" s="210"/>
      <c r="L7" s="210"/>
      <c r="M7" s="210"/>
      <c r="N7" s="210"/>
      <c r="O7" s="210"/>
      <c r="P7" s="211"/>
      <c r="Q7" s="195"/>
      <c r="R7" s="212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  <c r="DM7" s="186"/>
      <c r="DN7" s="186"/>
      <c r="DO7" s="186"/>
      <c r="DP7" s="186"/>
      <c r="DQ7" s="186"/>
      <c r="DR7" s="186"/>
      <c r="DS7" s="186"/>
      <c r="DT7" s="186"/>
      <c r="DU7" s="186"/>
      <c r="DV7" s="186"/>
      <c r="DW7" s="186"/>
      <c r="DX7" s="186"/>
      <c r="DY7" s="186"/>
      <c r="DZ7" s="186"/>
      <c r="EA7" s="186"/>
      <c r="EB7" s="186"/>
      <c r="EC7" s="186"/>
      <c r="ED7" s="186"/>
      <c r="EE7" s="186"/>
      <c r="EF7" s="186"/>
      <c r="EG7" s="186"/>
      <c r="EH7" s="186"/>
      <c r="EI7" s="186"/>
      <c r="EJ7" s="186"/>
      <c r="EK7" s="186"/>
      <c r="EL7" s="186"/>
      <c r="EM7" s="186"/>
      <c r="EN7" s="186"/>
      <c r="EO7" s="186"/>
      <c r="EP7" s="186"/>
      <c r="EQ7" s="186"/>
      <c r="ER7" s="186"/>
      <c r="ES7" s="186"/>
      <c r="ET7" s="186"/>
      <c r="EU7" s="186"/>
      <c r="EV7" s="186"/>
      <c r="EW7" s="186"/>
      <c r="EX7" s="186"/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6"/>
      <c r="FS7" s="186"/>
      <c r="FT7" s="186"/>
      <c r="FU7" s="186"/>
      <c r="FV7" s="186"/>
      <c r="FW7" s="186"/>
      <c r="FX7" s="186"/>
      <c r="FY7" s="186"/>
      <c r="FZ7" s="186"/>
      <c r="GA7" s="186"/>
      <c r="GB7" s="186"/>
      <c r="GC7" s="186"/>
      <c r="GD7" s="186"/>
      <c r="GE7" s="186"/>
      <c r="GF7" s="186"/>
      <c r="GG7" s="186"/>
      <c r="GH7" s="186"/>
      <c r="GI7" s="186"/>
      <c r="GJ7" s="186"/>
      <c r="GK7" s="186"/>
      <c r="GL7" s="186"/>
      <c r="GM7" s="186"/>
      <c r="GN7" s="186"/>
      <c r="GO7" s="186"/>
      <c r="GP7" s="186"/>
      <c r="GQ7" s="186"/>
      <c r="GR7" s="186"/>
      <c r="GS7" s="186"/>
      <c r="GT7" s="186"/>
      <c r="GU7" s="186"/>
      <c r="GV7" s="186"/>
      <c r="GW7" s="186"/>
      <c r="GX7" s="186"/>
      <c r="GY7" s="186"/>
      <c r="GZ7" s="186"/>
      <c r="HA7" s="186"/>
      <c r="HB7" s="186"/>
      <c r="HC7" s="186"/>
      <c r="HD7" s="186"/>
      <c r="HE7" s="186"/>
      <c r="HF7" s="186"/>
      <c r="HG7" s="186"/>
      <c r="HH7" s="186"/>
      <c r="HI7" s="186"/>
      <c r="HJ7" s="186"/>
      <c r="HK7" s="186"/>
      <c r="HL7" s="186"/>
      <c r="HM7" s="186"/>
      <c r="HN7" s="186"/>
      <c r="HO7" s="186"/>
      <c r="HP7" s="186"/>
      <c r="HQ7" s="186"/>
      <c r="HR7" s="187"/>
    </row>
    <row r="8" ht="54.75" customHeight="1">
      <c r="A8" s="207"/>
      <c r="B8" s="213"/>
      <c r="C8" s="213"/>
      <c r="D8" s="213"/>
      <c r="E8" s="213"/>
      <c r="F8" s="213"/>
      <c r="G8" s="186"/>
      <c r="H8" s="186"/>
      <c r="I8" s="213"/>
      <c r="J8" s="213"/>
      <c r="K8" s="213"/>
      <c r="L8" s="213"/>
      <c r="M8" s="213"/>
      <c r="N8" s="213"/>
      <c r="O8" s="213"/>
      <c r="P8" s="213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  <c r="DM8" s="186"/>
      <c r="DN8" s="186"/>
      <c r="DO8" s="186"/>
      <c r="DP8" s="186"/>
      <c r="DQ8" s="186"/>
      <c r="DR8" s="186"/>
      <c r="DS8" s="186"/>
      <c r="DT8" s="186"/>
      <c r="DU8" s="186"/>
      <c r="DV8" s="186"/>
      <c r="DW8" s="186"/>
      <c r="DX8" s="186"/>
      <c r="DY8" s="186"/>
      <c r="DZ8" s="186"/>
      <c r="EA8" s="186"/>
      <c r="EB8" s="186"/>
      <c r="EC8" s="186"/>
      <c r="ED8" s="186"/>
      <c r="EE8" s="186"/>
      <c r="EF8" s="186"/>
      <c r="EG8" s="186"/>
      <c r="EH8" s="186"/>
      <c r="EI8" s="186"/>
      <c r="EJ8" s="186"/>
      <c r="EK8" s="186"/>
      <c r="EL8" s="186"/>
      <c r="EM8" s="186"/>
      <c r="EN8" s="186"/>
      <c r="EO8" s="186"/>
      <c r="EP8" s="186"/>
      <c r="EQ8" s="186"/>
      <c r="ER8" s="186"/>
      <c r="ES8" s="186"/>
      <c r="ET8" s="186"/>
      <c r="EU8" s="186"/>
      <c r="EV8" s="186"/>
      <c r="EW8" s="186"/>
      <c r="EX8" s="186"/>
      <c r="EY8" s="186"/>
      <c r="EZ8" s="186"/>
      <c r="FA8" s="186"/>
      <c r="FB8" s="186"/>
      <c r="FC8" s="186"/>
      <c r="FD8" s="186"/>
      <c r="FE8" s="186"/>
      <c r="FF8" s="186"/>
      <c r="FG8" s="186"/>
      <c r="FH8" s="186"/>
      <c r="FI8" s="186"/>
      <c r="FJ8" s="186"/>
      <c r="FK8" s="186"/>
      <c r="FL8" s="186"/>
      <c r="FM8" s="186"/>
      <c r="FN8" s="186"/>
      <c r="FO8" s="186"/>
      <c r="FP8" s="186"/>
      <c r="FQ8" s="186"/>
      <c r="FR8" s="186"/>
      <c r="FS8" s="186"/>
      <c r="FT8" s="186"/>
      <c r="FU8" s="186"/>
      <c r="FV8" s="186"/>
      <c r="FW8" s="186"/>
      <c r="FX8" s="186"/>
      <c r="FY8" s="186"/>
      <c r="FZ8" s="186"/>
      <c r="GA8" s="186"/>
      <c r="GB8" s="186"/>
      <c r="GC8" s="186"/>
      <c r="GD8" s="186"/>
      <c r="GE8" s="186"/>
      <c r="GF8" s="186"/>
      <c r="GG8" s="186"/>
      <c r="GH8" s="186"/>
      <c r="GI8" s="186"/>
      <c r="GJ8" s="186"/>
      <c r="GK8" s="186"/>
      <c r="GL8" s="186"/>
      <c r="GM8" s="186"/>
      <c r="GN8" s="186"/>
      <c r="GO8" s="186"/>
      <c r="GP8" s="186"/>
      <c r="GQ8" s="186"/>
      <c r="GR8" s="186"/>
      <c r="GS8" s="186"/>
      <c r="GT8" s="186"/>
      <c r="GU8" s="186"/>
      <c r="GV8" s="186"/>
      <c r="GW8" s="186"/>
      <c r="GX8" s="186"/>
      <c r="GY8" s="186"/>
      <c r="GZ8" s="186"/>
      <c r="HA8" s="186"/>
      <c r="HB8" s="186"/>
      <c r="HC8" s="186"/>
      <c r="HD8" s="186"/>
      <c r="HE8" s="186"/>
      <c r="HF8" s="186"/>
      <c r="HG8" s="186"/>
      <c r="HH8" s="186"/>
      <c r="HI8" s="186"/>
      <c r="HJ8" s="186"/>
      <c r="HK8" s="186"/>
      <c r="HL8" s="186"/>
      <c r="HM8" s="186"/>
      <c r="HN8" s="186"/>
      <c r="HO8" s="186"/>
      <c r="HP8" s="186"/>
      <c r="HQ8" s="186"/>
      <c r="HR8" s="187"/>
    </row>
    <row r="9" ht="54.75" customHeight="1">
      <c r="A9" s="207"/>
      <c r="B9" t="s" s="214">
        <v>82</v>
      </c>
      <c r="C9" s="215"/>
      <c r="D9" s="215"/>
      <c r="E9" s="215"/>
      <c r="F9" s="216"/>
      <c r="G9" s="186"/>
      <c r="H9" s="186"/>
      <c r="I9" t="s" s="217">
        <v>83</v>
      </c>
      <c r="J9" s="218"/>
      <c r="K9" s="218"/>
      <c r="L9" s="218"/>
      <c r="M9" s="218"/>
      <c r="N9" s="218"/>
      <c r="O9" s="218"/>
      <c r="P9" s="215"/>
      <c r="Q9" s="186"/>
      <c r="R9" s="215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7"/>
    </row>
    <row r="10" ht="54.75" customHeight="1">
      <c r="A10" s="207"/>
      <c r="B10" t="s" s="214">
        <v>84</v>
      </c>
      <c r="C10" s="215"/>
      <c r="D10" s="215"/>
      <c r="E10" s="215"/>
      <c r="F10" s="219"/>
      <c r="G10" s="186"/>
      <c r="H10" s="186"/>
      <c r="I10" t="s" s="220">
        <v>85</v>
      </c>
      <c r="J10" s="221"/>
      <c r="K10" s="221"/>
      <c r="L10" s="221"/>
      <c r="M10" s="221"/>
      <c r="N10" s="221"/>
      <c r="O10" s="221"/>
      <c r="P10" s="222"/>
      <c r="Q10" s="186"/>
      <c r="R10" s="222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  <c r="DM10" s="186"/>
      <c r="DN10" s="186"/>
      <c r="DO10" s="186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6"/>
      <c r="EP10" s="186"/>
      <c r="EQ10" s="186"/>
      <c r="ER10" s="186"/>
      <c r="ES10" s="186"/>
      <c r="ET10" s="186"/>
      <c r="EU10" s="186"/>
      <c r="EV10" s="186"/>
      <c r="EW10" s="186"/>
      <c r="EX10" s="186"/>
      <c r="EY10" s="186"/>
      <c r="EZ10" s="186"/>
      <c r="FA10" s="186"/>
      <c r="FB10" s="186"/>
      <c r="FC10" s="186"/>
      <c r="FD10" s="186"/>
      <c r="FE10" s="186"/>
      <c r="FF10" s="186"/>
      <c r="FG10" s="186"/>
      <c r="FH10" s="186"/>
      <c r="FI10" s="186"/>
      <c r="FJ10" s="186"/>
      <c r="FK10" s="186"/>
      <c r="FL10" s="186"/>
      <c r="FM10" s="186"/>
      <c r="FN10" s="186"/>
      <c r="FO10" s="186"/>
      <c r="FP10" s="186"/>
      <c r="FQ10" s="186"/>
      <c r="FR10" s="186"/>
      <c r="FS10" s="186"/>
      <c r="FT10" s="186"/>
      <c r="FU10" s="186"/>
      <c r="FV10" s="186"/>
      <c r="FW10" s="186"/>
      <c r="FX10" s="186"/>
      <c r="FY10" s="186"/>
      <c r="FZ10" s="186"/>
      <c r="GA10" s="186"/>
      <c r="GB10" s="186"/>
      <c r="GC10" s="186"/>
      <c r="GD10" s="186"/>
      <c r="GE10" s="186"/>
      <c r="GF10" s="186"/>
      <c r="GG10" s="186"/>
      <c r="GH10" s="186"/>
      <c r="GI10" s="186"/>
      <c r="GJ10" s="186"/>
      <c r="GK10" s="186"/>
      <c r="GL10" s="186"/>
      <c r="GM10" s="186"/>
      <c r="GN10" s="186"/>
      <c r="GO10" s="186"/>
      <c r="GP10" s="186"/>
      <c r="GQ10" s="186"/>
      <c r="GR10" s="186"/>
      <c r="GS10" s="186"/>
      <c r="GT10" s="186"/>
      <c r="GU10" s="186"/>
      <c r="GV10" s="186"/>
      <c r="GW10" s="186"/>
      <c r="GX10" s="186"/>
      <c r="GY10" s="186"/>
      <c r="GZ10" s="186"/>
      <c r="HA10" s="186"/>
      <c r="HB10" s="186"/>
      <c r="HC10" s="186"/>
      <c r="HD10" s="186"/>
      <c r="HE10" s="186"/>
      <c r="HF10" s="186"/>
      <c r="HG10" s="186"/>
      <c r="HH10" s="186"/>
      <c r="HI10" s="186"/>
      <c r="HJ10" s="186"/>
      <c r="HK10" s="186"/>
      <c r="HL10" s="186"/>
      <c r="HM10" s="186"/>
      <c r="HN10" s="186"/>
      <c r="HO10" s="186"/>
      <c r="HP10" s="186"/>
      <c r="HQ10" s="186"/>
      <c r="HR10" s="187"/>
    </row>
    <row r="11" ht="54.75" customHeight="1">
      <c r="A11" s="207"/>
      <c r="B11" t="s" s="214">
        <v>86</v>
      </c>
      <c r="C11" s="215"/>
      <c r="D11" s="215"/>
      <c r="E11" s="215"/>
      <c r="F11" s="219"/>
      <c r="G11" s="186"/>
      <c r="H11" s="186"/>
      <c r="I11" t="s" s="220">
        <v>87</v>
      </c>
      <c r="J11" s="221"/>
      <c r="K11" s="221"/>
      <c r="L11" s="221"/>
      <c r="M11" s="221"/>
      <c r="N11" s="221"/>
      <c r="O11" s="221"/>
      <c r="P11" s="222"/>
      <c r="Q11" s="186"/>
      <c r="R11" s="222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/>
      <c r="ER11" s="186"/>
      <c r="ES11" s="186"/>
      <c r="ET11" s="186"/>
      <c r="EU11" s="186"/>
      <c r="EV11" s="186"/>
      <c r="EW11" s="186"/>
      <c r="EX11" s="186"/>
      <c r="EY11" s="186"/>
      <c r="EZ11" s="186"/>
      <c r="FA11" s="186"/>
      <c r="FB11" s="186"/>
      <c r="FC11" s="186"/>
      <c r="FD11" s="186"/>
      <c r="FE11" s="186"/>
      <c r="FF11" s="186"/>
      <c r="FG11" s="186"/>
      <c r="FH11" s="186"/>
      <c r="FI11" s="186"/>
      <c r="FJ11" s="186"/>
      <c r="FK11" s="186"/>
      <c r="FL11" s="186"/>
      <c r="FM11" s="186"/>
      <c r="FN11" s="186"/>
      <c r="FO11" s="186"/>
      <c r="FP11" s="186"/>
      <c r="FQ11" s="186"/>
      <c r="FR11" s="186"/>
      <c r="FS11" s="186"/>
      <c r="FT11" s="186"/>
      <c r="FU11" s="186"/>
      <c r="FV11" s="186"/>
      <c r="FW11" s="186"/>
      <c r="FX11" s="186"/>
      <c r="FY11" s="186"/>
      <c r="FZ11" s="186"/>
      <c r="GA11" s="186"/>
      <c r="GB11" s="186"/>
      <c r="GC11" s="186"/>
      <c r="GD11" s="186"/>
      <c r="GE11" s="186"/>
      <c r="GF11" s="186"/>
      <c r="GG11" s="186"/>
      <c r="GH11" s="186"/>
      <c r="GI11" s="186"/>
      <c r="GJ11" s="186"/>
      <c r="GK11" s="186"/>
      <c r="GL11" s="186"/>
      <c r="GM11" s="186"/>
      <c r="GN11" s="186"/>
      <c r="GO11" s="186"/>
      <c r="GP11" s="186"/>
      <c r="GQ11" s="186"/>
      <c r="GR11" s="186"/>
      <c r="GS11" s="186"/>
      <c r="GT11" s="186"/>
      <c r="GU11" s="186"/>
      <c r="GV11" s="186"/>
      <c r="GW11" s="186"/>
      <c r="GX11" s="186"/>
      <c r="GY11" s="186"/>
      <c r="GZ11" s="186"/>
      <c r="HA11" s="186"/>
      <c r="HB11" s="186"/>
      <c r="HC11" s="186"/>
      <c r="HD11" s="186"/>
      <c r="HE11" s="186"/>
      <c r="HF11" s="186"/>
      <c r="HG11" s="186"/>
      <c r="HH11" s="186"/>
      <c r="HI11" s="186"/>
      <c r="HJ11" s="186"/>
      <c r="HK11" s="186"/>
      <c r="HL11" s="186"/>
      <c r="HM11" s="186"/>
      <c r="HN11" s="186"/>
      <c r="HO11" s="186"/>
      <c r="HP11" s="186"/>
      <c r="HQ11" s="186"/>
      <c r="HR11" s="187"/>
    </row>
    <row r="12" ht="54.75" customHeight="1">
      <c r="A12" s="207"/>
      <c r="B12" s="186"/>
      <c r="C12" s="215"/>
      <c r="D12" s="215"/>
      <c r="E12" s="215"/>
      <c r="F12" s="223"/>
      <c r="G12" s="186"/>
      <c r="H12" s="186"/>
      <c r="I12" t="s" s="220">
        <v>88</v>
      </c>
      <c r="J12" s="221"/>
      <c r="K12" s="221"/>
      <c r="L12" s="221"/>
      <c r="M12" s="221"/>
      <c r="N12" s="221"/>
      <c r="O12" s="221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87"/>
    </row>
    <row r="13" ht="54.75" customHeight="1">
      <c r="A13" s="207"/>
      <c r="B13" s="224"/>
      <c r="C13" s="224"/>
      <c r="D13" s="224"/>
      <c r="E13" s="224"/>
      <c r="F13" s="224"/>
      <c r="G13" s="186"/>
      <c r="H13" s="186"/>
      <c r="I13" s="225"/>
      <c r="J13" s="226"/>
      <c r="K13" s="226"/>
      <c r="L13" s="226"/>
      <c r="M13" s="226"/>
      <c r="N13" s="226"/>
      <c r="O13" s="226"/>
      <c r="P13" s="226"/>
      <c r="Q13" s="186"/>
      <c r="R13" s="222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6"/>
      <c r="EO13" s="186"/>
      <c r="EP13" s="186"/>
      <c r="EQ13" s="186"/>
      <c r="ER13" s="186"/>
      <c r="ES13" s="186"/>
      <c r="ET13" s="186"/>
      <c r="EU13" s="186"/>
      <c r="EV13" s="186"/>
      <c r="EW13" s="186"/>
      <c r="EX13" s="186"/>
      <c r="EY13" s="186"/>
      <c r="EZ13" s="186"/>
      <c r="FA13" s="186"/>
      <c r="FB13" s="186"/>
      <c r="FC13" s="186"/>
      <c r="FD13" s="186"/>
      <c r="FE13" s="186"/>
      <c r="FF13" s="186"/>
      <c r="FG13" s="186"/>
      <c r="FH13" s="186"/>
      <c r="FI13" s="186"/>
      <c r="FJ13" s="186"/>
      <c r="FK13" s="186"/>
      <c r="FL13" s="186"/>
      <c r="FM13" s="186"/>
      <c r="FN13" s="186"/>
      <c r="FO13" s="186"/>
      <c r="FP13" s="186"/>
      <c r="FQ13" s="186"/>
      <c r="FR13" s="186"/>
      <c r="FS13" s="186"/>
      <c r="FT13" s="186"/>
      <c r="FU13" s="186"/>
      <c r="FV13" s="186"/>
      <c r="FW13" s="186"/>
      <c r="FX13" s="186"/>
      <c r="FY13" s="186"/>
      <c r="FZ13" s="186"/>
      <c r="GA13" s="186"/>
      <c r="GB13" s="186"/>
      <c r="GC13" s="186"/>
      <c r="GD13" s="186"/>
      <c r="GE13" s="186"/>
      <c r="GF13" s="186"/>
      <c r="GG13" s="186"/>
      <c r="GH13" s="186"/>
      <c r="GI13" s="186"/>
      <c r="GJ13" s="186"/>
      <c r="GK13" s="186"/>
      <c r="GL13" s="186"/>
      <c r="GM13" s="186"/>
      <c r="GN13" s="186"/>
      <c r="GO13" s="186"/>
      <c r="GP13" s="186"/>
      <c r="GQ13" s="186"/>
      <c r="GR13" s="186"/>
      <c r="GS13" s="186"/>
      <c r="GT13" s="186"/>
      <c r="GU13" s="186"/>
      <c r="GV13" s="186"/>
      <c r="GW13" s="186"/>
      <c r="GX13" s="186"/>
      <c r="GY13" s="186"/>
      <c r="GZ13" s="186"/>
      <c r="HA13" s="186"/>
      <c r="HB13" s="186"/>
      <c r="HC13" s="186"/>
      <c r="HD13" s="186"/>
      <c r="HE13" s="186"/>
      <c r="HF13" s="186"/>
      <c r="HG13" s="186"/>
      <c r="HH13" s="186"/>
      <c r="HI13" s="186"/>
      <c r="HJ13" s="186"/>
      <c r="HK13" s="186"/>
      <c r="HL13" s="186"/>
      <c r="HM13" s="186"/>
      <c r="HN13" s="186"/>
      <c r="HO13" s="186"/>
      <c r="HP13" s="186"/>
      <c r="HQ13" s="186"/>
      <c r="HR13" s="187"/>
    </row>
    <row r="14" ht="54.75" customHeight="1">
      <c r="A14" s="191"/>
      <c r="B14" t="s" s="209">
        <v>89</v>
      </c>
      <c r="C14" s="210"/>
      <c r="D14" s="210"/>
      <c r="E14" s="210"/>
      <c r="F14" s="211"/>
      <c r="G14" s="195"/>
      <c r="H14" s="227"/>
      <c r="I14" t="s" s="228">
        <v>90</v>
      </c>
      <c r="J14" s="229"/>
      <c r="K14" s="229"/>
      <c r="L14" s="229"/>
      <c r="M14" s="229"/>
      <c r="N14" s="229"/>
      <c r="O14" s="229"/>
      <c r="P14" s="230"/>
      <c r="Q14" s="231"/>
      <c r="R14" s="222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/>
      <c r="EQ14" s="186"/>
      <c r="ER14" s="186"/>
      <c r="ES14" s="186"/>
      <c r="ET14" s="186"/>
      <c r="EU14" s="186"/>
      <c r="EV14" s="186"/>
      <c r="EW14" s="186"/>
      <c r="EX14" s="186"/>
      <c r="EY14" s="186"/>
      <c r="EZ14" s="186"/>
      <c r="FA14" s="186"/>
      <c r="FB14" s="186"/>
      <c r="FC14" s="186"/>
      <c r="FD14" s="186"/>
      <c r="FE14" s="186"/>
      <c r="FF14" s="186"/>
      <c r="FG14" s="186"/>
      <c r="FH14" s="186"/>
      <c r="FI14" s="186"/>
      <c r="FJ14" s="186"/>
      <c r="FK14" s="186"/>
      <c r="FL14" s="186"/>
      <c r="FM14" s="186"/>
      <c r="FN14" s="186"/>
      <c r="FO14" s="186"/>
      <c r="FP14" s="186"/>
      <c r="FQ14" s="186"/>
      <c r="FR14" s="186"/>
      <c r="FS14" s="186"/>
      <c r="FT14" s="186"/>
      <c r="FU14" s="186"/>
      <c r="FV14" s="186"/>
      <c r="FW14" s="186"/>
      <c r="FX14" s="186"/>
      <c r="FY14" s="186"/>
      <c r="FZ14" s="186"/>
      <c r="GA14" s="186"/>
      <c r="GB14" s="186"/>
      <c r="GC14" s="186"/>
      <c r="GD14" s="186"/>
      <c r="GE14" s="186"/>
      <c r="GF14" s="186"/>
      <c r="GG14" s="186"/>
      <c r="GH14" s="186"/>
      <c r="GI14" s="186"/>
      <c r="GJ14" s="186"/>
      <c r="GK14" s="186"/>
      <c r="GL14" s="186"/>
      <c r="GM14" s="186"/>
      <c r="GN14" s="186"/>
      <c r="GO14" s="186"/>
      <c r="GP14" s="186"/>
      <c r="GQ14" s="186"/>
      <c r="GR14" s="186"/>
      <c r="GS14" s="186"/>
      <c r="GT14" s="186"/>
      <c r="GU14" s="186"/>
      <c r="GV14" s="186"/>
      <c r="GW14" s="186"/>
      <c r="GX14" s="186"/>
      <c r="GY14" s="186"/>
      <c r="GZ14" s="186"/>
      <c r="HA14" s="186"/>
      <c r="HB14" s="186"/>
      <c r="HC14" s="186"/>
      <c r="HD14" s="186"/>
      <c r="HE14" s="186"/>
      <c r="HF14" s="186"/>
      <c r="HG14" s="186"/>
      <c r="HH14" s="186"/>
      <c r="HI14" s="186"/>
      <c r="HJ14" s="186"/>
      <c r="HK14" s="186"/>
      <c r="HL14" s="186"/>
      <c r="HM14" s="186"/>
      <c r="HN14" s="186"/>
      <c r="HO14" s="186"/>
      <c r="HP14" s="186"/>
      <c r="HQ14" s="186"/>
      <c r="HR14" s="187"/>
    </row>
    <row r="15" ht="54.75" customHeight="1">
      <c r="A15" s="207"/>
      <c r="B15" s="213"/>
      <c r="C15" s="213"/>
      <c r="D15" s="213"/>
      <c r="E15" s="213"/>
      <c r="F15" s="213"/>
      <c r="G15" s="186"/>
      <c r="H15" s="186"/>
      <c r="I15" s="190"/>
      <c r="J15" s="190"/>
      <c r="K15" s="190"/>
      <c r="L15" s="190"/>
      <c r="M15" s="190"/>
      <c r="N15" s="190"/>
      <c r="O15" s="190"/>
      <c r="P15" s="190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7"/>
    </row>
    <row r="16" ht="54.75" customHeight="1">
      <c r="A16" s="207"/>
      <c r="B16" t="s" s="220">
        <v>91</v>
      </c>
      <c r="C16" s="221"/>
      <c r="D16" s="221"/>
      <c r="E16" s="221"/>
      <c r="F16" s="232"/>
      <c r="G16" s="212"/>
      <c r="H16" s="186"/>
      <c r="I16" t="s" s="233">
        <v>92</v>
      </c>
      <c r="J16" s="234"/>
      <c r="K16" s="235"/>
      <c r="L16" t="s" s="233">
        <v>93</v>
      </c>
      <c r="M16" s="234"/>
      <c r="N16" s="235"/>
      <c r="O16" t="s" s="233">
        <v>94</v>
      </c>
      <c r="P16" s="234"/>
      <c r="Q16" s="186"/>
      <c r="R16" s="234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6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/>
      <c r="EB16" s="186"/>
      <c r="EC16" s="186"/>
      <c r="ED16" s="186"/>
      <c r="EE16" s="186"/>
      <c r="EF16" s="186"/>
      <c r="EG16" s="186"/>
      <c r="EH16" s="186"/>
      <c r="EI16" s="186"/>
      <c r="EJ16" s="186"/>
      <c r="EK16" s="186"/>
      <c r="EL16" s="186"/>
      <c r="EM16" s="186"/>
      <c r="EN16" s="186"/>
      <c r="EO16" s="186"/>
      <c r="EP16" s="186"/>
      <c r="EQ16" s="186"/>
      <c r="ER16" s="186"/>
      <c r="ES16" s="186"/>
      <c r="ET16" s="186"/>
      <c r="EU16" s="186"/>
      <c r="EV16" s="186"/>
      <c r="EW16" s="186"/>
      <c r="EX16" s="186"/>
      <c r="EY16" s="186"/>
      <c r="EZ16" s="186"/>
      <c r="FA16" s="186"/>
      <c r="FB16" s="186"/>
      <c r="FC16" s="186"/>
      <c r="FD16" s="186"/>
      <c r="FE16" s="186"/>
      <c r="FF16" s="186"/>
      <c r="FG16" s="186"/>
      <c r="FH16" s="186"/>
      <c r="FI16" s="186"/>
      <c r="FJ16" s="186"/>
      <c r="FK16" s="186"/>
      <c r="FL16" s="186"/>
      <c r="FM16" s="186"/>
      <c r="FN16" s="186"/>
      <c r="FO16" s="186"/>
      <c r="FP16" s="186"/>
      <c r="FQ16" s="186"/>
      <c r="FR16" s="186"/>
      <c r="FS16" s="186"/>
      <c r="FT16" s="186"/>
      <c r="FU16" s="186"/>
      <c r="FV16" s="186"/>
      <c r="FW16" s="186"/>
      <c r="FX16" s="186"/>
      <c r="FY16" s="186"/>
      <c r="FZ16" s="186"/>
      <c r="GA16" s="186"/>
      <c r="GB16" s="186"/>
      <c r="GC16" s="186"/>
      <c r="GD16" s="186"/>
      <c r="GE16" s="186"/>
      <c r="GF16" s="186"/>
      <c r="GG16" s="186"/>
      <c r="GH16" s="186"/>
      <c r="GI16" s="186"/>
      <c r="GJ16" s="186"/>
      <c r="GK16" s="186"/>
      <c r="GL16" s="186"/>
      <c r="GM16" s="186"/>
      <c r="GN16" s="186"/>
      <c r="GO16" s="186"/>
      <c r="GP16" s="186"/>
      <c r="GQ16" s="186"/>
      <c r="GR16" s="186"/>
      <c r="GS16" s="186"/>
      <c r="GT16" s="186"/>
      <c r="GU16" s="186"/>
      <c r="GV16" s="186"/>
      <c r="GW16" s="186"/>
      <c r="GX16" s="186"/>
      <c r="GY16" s="186"/>
      <c r="GZ16" s="186"/>
      <c r="HA16" s="186"/>
      <c r="HB16" s="186"/>
      <c r="HC16" s="186"/>
      <c r="HD16" s="186"/>
      <c r="HE16" s="186"/>
      <c r="HF16" s="186"/>
      <c r="HG16" s="186"/>
      <c r="HH16" s="186"/>
      <c r="HI16" s="186"/>
      <c r="HJ16" s="186"/>
      <c r="HK16" s="186"/>
      <c r="HL16" s="186"/>
      <c r="HM16" s="186"/>
      <c r="HN16" s="186"/>
      <c r="HO16" s="186"/>
      <c r="HP16" s="186"/>
      <c r="HQ16" s="186"/>
      <c r="HR16" s="187"/>
    </row>
    <row r="17" ht="54.75" customHeight="1">
      <c r="A17" s="207"/>
      <c r="B17" t="s" s="220">
        <v>95</v>
      </c>
      <c r="C17" s="221"/>
      <c r="D17" s="221"/>
      <c r="E17" s="221"/>
      <c r="F17" s="232"/>
      <c r="G17" s="212"/>
      <c r="H17" s="186"/>
      <c r="I17" t="s" s="233">
        <v>96</v>
      </c>
      <c r="J17" s="234"/>
      <c r="K17" s="234"/>
      <c r="L17" t="s" s="233">
        <v>97</v>
      </c>
      <c r="M17" s="234"/>
      <c r="N17" s="234"/>
      <c r="O17" t="s" s="233">
        <v>98</v>
      </c>
      <c r="P17" s="234"/>
      <c r="Q17" s="186"/>
      <c r="R17" s="234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  <c r="DM17" s="186"/>
      <c r="DN17" s="186"/>
      <c r="DO17" s="186"/>
      <c r="DP17" s="186"/>
      <c r="DQ17" s="186"/>
      <c r="DR17" s="186"/>
      <c r="DS17" s="186"/>
      <c r="DT17" s="186"/>
      <c r="DU17" s="186"/>
      <c r="DV17" s="186"/>
      <c r="DW17" s="186"/>
      <c r="DX17" s="186"/>
      <c r="DY17" s="186"/>
      <c r="DZ17" s="186"/>
      <c r="EA17" s="186"/>
      <c r="EB17" s="186"/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186"/>
      <c r="EU17" s="186"/>
      <c r="EV17" s="186"/>
      <c r="EW17" s="186"/>
      <c r="EX17" s="186"/>
      <c r="EY17" s="186"/>
      <c r="EZ17" s="186"/>
      <c r="FA17" s="186"/>
      <c r="FB17" s="186"/>
      <c r="FC17" s="186"/>
      <c r="FD17" s="186"/>
      <c r="FE17" s="186"/>
      <c r="FF17" s="186"/>
      <c r="FG17" s="186"/>
      <c r="FH17" s="186"/>
      <c r="FI17" s="186"/>
      <c r="FJ17" s="186"/>
      <c r="FK17" s="186"/>
      <c r="FL17" s="186"/>
      <c r="FM17" s="186"/>
      <c r="FN17" s="186"/>
      <c r="FO17" s="186"/>
      <c r="FP17" s="186"/>
      <c r="FQ17" s="186"/>
      <c r="FR17" s="186"/>
      <c r="FS17" s="186"/>
      <c r="FT17" s="186"/>
      <c r="FU17" s="186"/>
      <c r="FV17" s="186"/>
      <c r="FW17" s="186"/>
      <c r="FX17" s="186"/>
      <c r="FY17" s="186"/>
      <c r="FZ17" s="186"/>
      <c r="GA17" s="186"/>
      <c r="GB17" s="186"/>
      <c r="GC17" s="186"/>
      <c r="GD17" s="186"/>
      <c r="GE17" s="186"/>
      <c r="GF17" s="186"/>
      <c r="GG17" s="186"/>
      <c r="GH17" s="186"/>
      <c r="GI17" s="186"/>
      <c r="GJ17" s="186"/>
      <c r="GK17" s="186"/>
      <c r="GL17" s="186"/>
      <c r="GM17" s="186"/>
      <c r="GN17" s="186"/>
      <c r="GO17" s="186"/>
      <c r="GP17" s="186"/>
      <c r="GQ17" s="186"/>
      <c r="GR17" s="186"/>
      <c r="GS17" s="186"/>
      <c r="GT17" s="186"/>
      <c r="GU17" s="186"/>
      <c r="GV17" s="186"/>
      <c r="GW17" s="186"/>
      <c r="GX17" s="186"/>
      <c r="GY17" s="186"/>
      <c r="GZ17" s="186"/>
      <c r="HA17" s="186"/>
      <c r="HB17" s="186"/>
      <c r="HC17" s="186"/>
      <c r="HD17" s="186"/>
      <c r="HE17" s="186"/>
      <c r="HF17" s="186"/>
      <c r="HG17" s="186"/>
      <c r="HH17" s="186"/>
      <c r="HI17" s="186"/>
      <c r="HJ17" s="186"/>
      <c r="HK17" s="186"/>
      <c r="HL17" s="186"/>
      <c r="HM17" s="186"/>
      <c r="HN17" s="186"/>
      <c r="HO17" s="186"/>
      <c r="HP17" s="186"/>
      <c r="HQ17" s="186"/>
      <c r="HR17" s="187"/>
    </row>
    <row r="18" ht="54.75" customHeight="1">
      <c r="A18" s="207"/>
      <c r="B18" t="s" s="220">
        <v>99</v>
      </c>
      <c r="C18" s="221"/>
      <c r="D18" s="221"/>
      <c r="E18" s="221"/>
      <c r="F18" s="232"/>
      <c r="G18" s="186"/>
      <c r="H18" s="186"/>
      <c r="I18" t="s" s="214">
        <v>100</v>
      </c>
      <c r="J18" s="215"/>
      <c r="K18" s="236"/>
      <c r="L18" t="s" s="214">
        <v>101</v>
      </c>
      <c r="M18" s="215"/>
      <c r="N18" s="236"/>
      <c r="O18" t="s" s="214">
        <v>102</v>
      </c>
      <c r="P18" s="215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  <c r="DM18" s="186"/>
      <c r="DN18" s="186"/>
      <c r="DO18" s="186"/>
      <c r="DP18" s="186"/>
      <c r="DQ18" s="186"/>
      <c r="DR18" s="186"/>
      <c r="DS18" s="186"/>
      <c r="DT18" s="186"/>
      <c r="DU18" s="186"/>
      <c r="DV18" s="186"/>
      <c r="DW18" s="186"/>
      <c r="DX18" s="186"/>
      <c r="DY18" s="186"/>
      <c r="DZ18" s="186"/>
      <c r="EA18" s="186"/>
      <c r="EB18" s="186"/>
      <c r="EC18" s="186"/>
      <c r="ED18" s="186"/>
      <c r="EE18" s="186"/>
      <c r="EF18" s="186"/>
      <c r="EG18" s="186"/>
      <c r="EH18" s="186"/>
      <c r="EI18" s="186"/>
      <c r="EJ18" s="186"/>
      <c r="EK18" s="186"/>
      <c r="EL18" s="186"/>
      <c r="EM18" s="186"/>
      <c r="EN18" s="186"/>
      <c r="EO18" s="186"/>
      <c r="EP18" s="186"/>
      <c r="EQ18" s="186"/>
      <c r="ER18" s="186"/>
      <c r="ES18" s="186"/>
      <c r="ET18" s="186"/>
      <c r="EU18" s="186"/>
      <c r="EV18" s="186"/>
      <c r="EW18" s="186"/>
      <c r="EX18" s="186"/>
      <c r="EY18" s="186"/>
      <c r="EZ18" s="186"/>
      <c r="FA18" s="186"/>
      <c r="FB18" s="186"/>
      <c r="FC18" s="186"/>
      <c r="FD18" s="186"/>
      <c r="FE18" s="186"/>
      <c r="FF18" s="186"/>
      <c r="FG18" s="186"/>
      <c r="FH18" s="186"/>
      <c r="FI18" s="186"/>
      <c r="FJ18" s="186"/>
      <c r="FK18" s="186"/>
      <c r="FL18" s="186"/>
      <c r="FM18" s="186"/>
      <c r="FN18" s="186"/>
      <c r="FO18" s="186"/>
      <c r="FP18" s="186"/>
      <c r="FQ18" s="186"/>
      <c r="FR18" s="186"/>
      <c r="FS18" s="186"/>
      <c r="FT18" s="186"/>
      <c r="FU18" s="186"/>
      <c r="FV18" s="186"/>
      <c r="FW18" s="186"/>
      <c r="FX18" s="186"/>
      <c r="FY18" s="186"/>
      <c r="FZ18" s="186"/>
      <c r="GA18" s="186"/>
      <c r="GB18" s="186"/>
      <c r="GC18" s="186"/>
      <c r="GD18" s="186"/>
      <c r="GE18" s="186"/>
      <c r="GF18" s="186"/>
      <c r="GG18" s="186"/>
      <c r="GH18" s="186"/>
      <c r="GI18" s="186"/>
      <c r="GJ18" s="186"/>
      <c r="GK18" s="186"/>
      <c r="GL18" s="186"/>
      <c r="GM18" s="186"/>
      <c r="GN18" s="186"/>
      <c r="GO18" s="186"/>
      <c r="GP18" s="186"/>
      <c r="GQ18" s="186"/>
      <c r="GR18" s="186"/>
      <c r="GS18" s="186"/>
      <c r="GT18" s="186"/>
      <c r="GU18" s="186"/>
      <c r="GV18" s="186"/>
      <c r="GW18" s="186"/>
      <c r="GX18" s="186"/>
      <c r="GY18" s="186"/>
      <c r="GZ18" s="186"/>
      <c r="HA18" s="186"/>
      <c r="HB18" s="186"/>
      <c r="HC18" s="186"/>
      <c r="HD18" s="186"/>
      <c r="HE18" s="186"/>
      <c r="HF18" s="186"/>
      <c r="HG18" s="186"/>
      <c r="HH18" s="186"/>
      <c r="HI18" s="186"/>
      <c r="HJ18" s="186"/>
      <c r="HK18" s="186"/>
      <c r="HL18" s="186"/>
      <c r="HM18" s="186"/>
      <c r="HN18" s="186"/>
      <c r="HO18" s="186"/>
      <c r="HP18" s="186"/>
      <c r="HQ18" s="186"/>
      <c r="HR18" s="187"/>
    </row>
    <row r="19" ht="54.75" customHeight="1">
      <c r="A19" s="207"/>
      <c r="B19" t="s" s="220">
        <v>103</v>
      </c>
      <c r="C19" s="221"/>
      <c r="D19" s="221"/>
      <c r="E19" s="221"/>
      <c r="F19" s="237"/>
      <c r="G19" s="186"/>
      <c r="H19" s="186"/>
      <c r="I19" t="s" s="214">
        <v>104</v>
      </c>
      <c r="J19" s="215"/>
      <c r="K19" s="236"/>
      <c r="L19" t="s" s="214">
        <v>105</v>
      </c>
      <c r="M19" s="215"/>
      <c r="N19" s="236"/>
      <c r="O19" t="s" s="214">
        <v>106</v>
      </c>
      <c r="P19" s="215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  <c r="DM19" s="186"/>
      <c r="DN19" s="186"/>
      <c r="DO19" s="186"/>
      <c r="DP19" s="186"/>
      <c r="DQ19" s="186"/>
      <c r="DR19" s="186"/>
      <c r="DS19" s="186"/>
      <c r="DT19" s="186"/>
      <c r="DU19" s="186"/>
      <c r="DV19" s="186"/>
      <c r="DW19" s="186"/>
      <c r="DX19" s="186"/>
      <c r="DY19" s="186"/>
      <c r="DZ19" s="186"/>
      <c r="EA19" s="186"/>
      <c r="EB19" s="186"/>
      <c r="EC19" s="186"/>
      <c r="ED19" s="186"/>
      <c r="EE19" s="186"/>
      <c r="EF19" s="186"/>
      <c r="EG19" s="186"/>
      <c r="EH19" s="186"/>
      <c r="EI19" s="186"/>
      <c r="EJ19" s="186"/>
      <c r="EK19" s="186"/>
      <c r="EL19" s="186"/>
      <c r="EM19" s="186"/>
      <c r="EN19" s="186"/>
      <c r="EO19" s="186"/>
      <c r="EP19" s="186"/>
      <c r="EQ19" s="186"/>
      <c r="ER19" s="186"/>
      <c r="ES19" s="186"/>
      <c r="ET19" s="186"/>
      <c r="EU19" s="186"/>
      <c r="EV19" s="186"/>
      <c r="EW19" s="186"/>
      <c r="EX19" s="186"/>
      <c r="EY19" s="186"/>
      <c r="EZ19" s="186"/>
      <c r="FA19" s="186"/>
      <c r="FB19" s="186"/>
      <c r="FC19" s="186"/>
      <c r="FD19" s="186"/>
      <c r="FE19" s="186"/>
      <c r="FF19" s="186"/>
      <c r="FG19" s="186"/>
      <c r="FH19" s="186"/>
      <c r="FI19" s="186"/>
      <c r="FJ19" s="186"/>
      <c r="FK19" s="186"/>
      <c r="FL19" s="186"/>
      <c r="FM19" s="186"/>
      <c r="FN19" s="186"/>
      <c r="FO19" s="186"/>
      <c r="FP19" s="186"/>
      <c r="FQ19" s="186"/>
      <c r="FR19" s="186"/>
      <c r="FS19" s="186"/>
      <c r="FT19" s="186"/>
      <c r="FU19" s="186"/>
      <c r="FV19" s="186"/>
      <c r="FW19" s="186"/>
      <c r="FX19" s="186"/>
      <c r="FY19" s="186"/>
      <c r="FZ19" s="186"/>
      <c r="GA19" s="186"/>
      <c r="GB19" s="186"/>
      <c r="GC19" s="186"/>
      <c r="GD19" s="186"/>
      <c r="GE19" s="186"/>
      <c r="GF19" s="186"/>
      <c r="GG19" s="186"/>
      <c r="GH19" s="186"/>
      <c r="GI19" s="186"/>
      <c r="GJ19" s="186"/>
      <c r="GK19" s="186"/>
      <c r="GL19" s="186"/>
      <c r="GM19" s="186"/>
      <c r="GN19" s="186"/>
      <c r="GO19" s="186"/>
      <c r="GP19" s="186"/>
      <c r="GQ19" s="186"/>
      <c r="GR19" s="186"/>
      <c r="GS19" s="186"/>
      <c r="GT19" s="186"/>
      <c r="GU19" s="186"/>
      <c r="GV19" s="186"/>
      <c r="GW19" s="186"/>
      <c r="GX19" s="186"/>
      <c r="GY19" s="186"/>
      <c r="GZ19" s="186"/>
      <c r="HA19" s="186"/>
      <c r="HB19" s="186"/>
      <c r="HC19" s="186"/>
      <c r="HD19" s="186"/>
      <c r="HE19" s="186"/>
      <c r="HF19" s="186"/>
      <c r="HG19" s="186"/>
      <c r="HH19" s="186"/>
      <c r="HI19" s="186"/>
      <c r="HJ19" s="186"/>
      <c r="HK19" s="186"/>
      <c r="HL19" s="186"/>
      <c r="HM19" s="186"/>
      <c r="HN19" s="186"/>
      <c r="HO19" s="186"/>
      <c r="HP19" s="186"/>
      <c r="HQ19" s="186"/>
      <c r="HR19" s="187"/>
    </row>
    <row r="20" ht="54.75" customHeight="1">
      <c r="A20" s="207"/>
      <c r="B20" t="s" s="220">
        <v>107</v>
      </c>
      <c r="C20" s="221"/>
      <c r="D20" s="221"/>
      <c r="E20" s="221"/>
      <c r="F20" s="232"/>
      <c r="G20" s="186"/>
      <c r="H20" s="186"/>
      <c r="I20" t="s" s="214">
        <v>108</v>
      </c>
      <c r="J20" s="215"/>
      <c r="K20" s="236"/>
      <c r="L20" t="s" s="214">
        <v>109</v>
      </c>
      <c r="M20" s="215"/>
      <c r="N20" s="236"/>
      <c r="O20" t="s" s="214">
        <v>110</v>
      </c>
      <c r="P20" s="215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  <c r="DM20" s="186"/>
      <c r="DN20" s="186"/>
      <c r="DO20" s="186"/>
      <c r="DP20" s="186"/>
      <c r="DQ20" s="186"/>
      <c r="DR20" s="186"/>
      <c r="DS20" s="186"/>
      <c r="DT20" s="186"/>
      <c r="DU20" s="186"/>
      <c r="DV20" s="186"/>
      <c r="DW20" s="186"/>
      <c r="DX20" s="186"/>
      <c r="DY20" s="186"/>
      <c r="DZ20" s="186"/>
      <c r="EA20" s="186"/>
      <c r="EB20" s="186"/>
      <c r="EC20" s="186"/>
      <c r="ED20" s="186"/>
      <c r="EE20" s="186"/>
      <c r="EF20" s="186"/>
      <c r="EG20" s="186"/>
      <c r="EH20" s="186"/>
      <c r="EI20" s="186"/>
      <c r="EJ20" s="186"/>
      <c r="EK20" s="186"/>
      <c r="EL20" s="186"/>
      <c r="EM20" s="186"/>
      <c r="EN20" s="186"/>
      <c r="EO20" s="186"/>
      <c r="EP20" s="186"/>
      <c r="EQ20" s="186"/>
      <c r="ER20" s="186"/>
      <c r="ES20" s="186"/>
      <c r="ET20" s="186"/>
      <c r="EU20" s="186"/>
      <c r="EV20" s="186"/>
      <c r="EW20" s="186"/>
      <c r="EX20" s="186"/>
      <c r="EY20" s="186"/>
      <c r="EZ20" s="186"/>
      <c r="FA20" s="186"/>
      <c r="FB20" s="186"/>
      <c r="FC20" s="186"/>
      <c r="FD20" s="186"/>
      <c r="FE20" s="186"/>
      <c r="FF20" s="186"/>
      <c r="FG20" s="186"/>
      <c r="FH20" s="186"/>
      <c r="FI20" s="186"/>
      <c r="FJ20" s="186"/>
      <c r="FK20" s="186"/>
      <c r="FL20" s="186"/>
      <c r="FM20" s="186"/>
      <c r="FN20" s="186"/>
      <c r="FO20" s="186"/>
      <c r="FP20" s="186"/>
      <c r="FQ20" s="186"/>
      <c r="FR20" s="186"/>
      <c r="FS20" s="186"/>
      <c r="FT20" s="186"/>
      <c r="FU20" s="186"/>
      <c r="FV20" s="186"/>
      <c r="FW20" s="186"/>
      <c r="FX20" s="186"/>
      <c r="FY20" s="186"/>
      <c r="FZ20" s="186"/>
      <c r="GA20" s="186"/>
      <c r="GB20" s="186"/>
      <c r="GC20" s="186"/>
      <c r="GD20" s="186"/>
      <c r="GE20" s="186"/>
      <c r="GF20" s="186"/>
      <c r="GG20" s="186"/>
      <c r="GH20" s="186"/>
      <c r="GI20" s="186"/>
      <c r="GJ20" s="186"/>
      <c r="GK20" s="186"/>
      <c r="GL20" s="186"/>
      <c r="GM20" s="186"/>
      <c r="GN20" s="186"/>
      <c r="GO20" s="186"/>
      <c r="GP20" s="186"/>
      <c r="GQ20" s="186"/>
      <c r="GR20" s="186"/>
      <c r="GS20" s="186"/>
      <c r="GT20" s="186"/>
      <c r="GU20" s="186"/>
      <c r="GV20" s="186"/>
      <c r="GW20" s="186"/>
      <c r="GX20" s="186"/>
      <c r="GY20" s="186"/>
      <c r="GZ20" s="186"/>
      <c r="HA20" s="186"/>
      <c r="HB20" s="186"/>
      <c r="HC20" s="186"/>
      <c r="HD20" s="186"/>
      <c r="HE20" s="186"/>
      <c r="HF20" s="186"/>
      <c r="HG20" s="186"/>
      <c r="HH20" s="186"/>
      <c r="HI20" s="186"/>
      <c r="HJ20" s="186"/>
      <c r="HK20" s="186"/>
      <c r="HL20" s="186"/>
      <c r="HM20" s="186"/>
      <c r="HN20" s="186"/>
      <c r="HO20" s="186"/>
      <c r="HP20" s="186"/>
      <c r="HQ20" s="186"/>
      <c r="HR20" s="187"/>
    </row>
    <row r="21" ht="54.75" customHeight="1">
      <c r="A21" s="207"/>
      <c r="B21" s="186"/>
      <c r="C21" s="186"/>
      <c r="D21" s="186"/>
      <c r="E21" s="186"/>
      <c r="F21" s="186"/>
      <c r="G21" s="186"/>
      <c r="H21" s="186"/>
      <c r="I21" t="s" s="214">
        <v>111</v>
      </c>
      <c r="J21" s="215"/>
      <c r="K21" s="236"/>
      <c r="L21" t="s" s="214">
        <v>112</v>
      </c>
      <c r="M21" s="215"/>
      <c r="N21" s="236"/>
      <c r="O21" t="s" s="214">
        <v>113</v>
      </c>
      <c r="P21" s="215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  <c r="EY21" s="186"/>
      <c r="EZ21" s="186"/>
      <c r="FA21" s="186"/>
      <c r="FB21" s="186"/>
      <c r="FC21" s="186"/>
      <c r="FD21" s="186"/>
      <c r="FE21" s="186"/>
      <c r="FF21" s="186"/>
      <c r="FG21" s="186"/>
      <c r="FH21" s="186"/>
      <c r="FI21" s="186"/>
      <c r="FJ21" s="186"/>
      <c r="FK21" s="186"/>
      <c r="FL21" s="186"/>
      <c r="FM21" s="186"/>
      <c r="FN21" s="186"/>
      <c r="FO21" s="186"/>
      <c r="FP21" s="186"/>
      <c r="FQ21" s="186"/>
      <c r="FR21" s="186"/>
      <c r="FS21" s="186"/>
      <c r="FT21" s="186"/>
      <c r="FU21" s="186"/>
      <c r="FV21" s="186"/>
      <c r="FW21" s="186"/>
      <c r="FX21" s="186"/>
      <c r="FY21" s="186"/>
      <c r="FZ21" s="186"/>
      <c r="GA21" s="186"/>
      <c r="GB21" s="186"/>
      <c r="GC21" s="186"/>
      <c r="GD21" s="186"/>
      <c r="GE21" s="186"/>
      <c r="GF21" s="186"/>
      <c r="GG21" s="186"/>
      <c r="GH21" s="186"/>
      <c r="GI21" s="186"/>
      <c r="GJ21" s="186"/>
      <c r="GK21" s="186"/>
      <c r="GL21" s="186"/>
      <c r="GM21" s="186"/>
      <c r="GN21" s="186"/>
      <c r="GO21" s="186"/>
      <c r="GP21" s="186"/>
      <c r="GQ21" s="186"/>
      <c r="GR21" s="186"/>
      <c r="GS21" s="186"/>
      <c r="GT21" s="186"/>
      <c r="GU21" s="186"/>
      <c r="GV21" s="186"/>
      <c r="GW21" s="186"/>
      <c r="GX21" s="186"/>
      <c r="GY21" s="186"/>
      <c r="GZ21" s="186"/>
      <c r="HA21" s="186"/>
      <c r="HB21" s="186"/>
      <c r="HC21" s="186"/>
      <c r="HD21" s="186"/>
      <c r="HE21" s="186"/>
      <c r="HF21" s="186"/>
      <c r="HG21" s="186"/>
      <c r="HH21" s="186"/>
      <c r="HI21" s="186"/>
      <c r="HJ21" s="186"/>
      <c r="HK21" s="186"/>
      <c r="HL21" s="186"/>
      <c r="HM21" s="186"/>
      <c r="HN21" s="186"/>
      <c r="HO21" s="186"/>
      <c r="HP21" s="186"/>
      <c r="HQ21" s="186"/>
      <c r="HR21" s="187"/>
    </row>
    <row r="22" ht="54.75" customHeight="1">
      <c r="A22" s="207"/>
      <c r="B22" s="186"/>
      <c r="C22" s="186"/>
      <c r="D22" s="186"/>
      <c r="E22" s="186"/>
      <c r="F22" s="186"/>
      <c r="G22" s="186"/>
      <c r="H22" s="186"/>
      <c r="I22" t="s" s="214">
        <v>114</v>
      </c>
      <c r="J22" s="215"/>
      <c r="K22" s="236"/>
      <c r="L22" t="s" s="214">
        <v>115</v>
      </c>
      <c r="M22" s="215"/>
      <c r="N22" s="238"/>
      <c r="O22" t="s" s="214">
        <v>116</v>
      </c>
      <c r="P22" s="215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  <c r="DM22" s="186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186"/>
      <c r="EU22" s="186"/>
      <c r="EV22" s="186"/>
      <c r="EW22" s="186"/>
      <c r="EX22" s="186"/>
      <c r="EY22" s="186"/>
      <c r="EZ22" s="186"/>
      <c r="FA22" s="186"/>
      <c r="FB22" s="186"/>
      <c r="FC22" s="186"/>
      <c r="FD22" s="186"/>
      <c r="FE22" s="186"/>
      <c r="FF22" s="186"/>
      <c r="FG22" s="186"/>
      <c r="FH22" s="186"/>
      <c r="FI22" s="186"/>
      <c r="FJ22" s="186"/>
      <c r="FK22" s="186"/>
      <c r="FL22" s="186"/>
      <c r="FM22" s="186"/>
      <c r="FN22" s="186"/>
      <c r="FO22" s="186"/>
      <c r="FP22" s="186"/>
      <c r="FQ22" s="186"/>
      <c r="FR22" s="186"/>
      <c r="FS22" s="186"/>
      <c r="FT22" s="186"/>
      <c r="FU22" s="186"/>
      <c r="FV22" s="186"/>
      <c r="FW22" s="186"/>
      <c r="FX22" s="186"/>
      <c r="FY22" s="186"/>
      <c r="FZ22" s="186"/>
      <c r="GA22" s="186"/>
      <c r="GB22" s="186"/>
      <c r="GC22" s="186"/>
      <c r="GD22" s="186"/>
      <c r="GE22" s="186"/>
      <c r="GF22" s="186"/>
      <c r="GG22" s="186"/>
      <c r="GH22" s="186"/>
      <c r="GI22" s="186"/>
      <c r="GJ22" s="186"/>
      <c r="GK22" s="186"/>
      <c r="GL22" s="186"/>
      <c r="GM22" s="186"/>
      <c r="GN22" s="186"/>
      <c r="GO22" s="186"/>
      <c r="GP22" s="186"/>
      <c r="GQ22" s="186"/>
      <c r="GR22" s="186"/>
      <c r="GS22" s="186"/>
      <c r="GT22" s="186"/>
      <c r="GU22" s="186"/>
      <c r="GV22" s="186"/>
      <c r="GW22" s="186"/>
      <c r="GX22" s="186"/>
      <c r="GY22" s="186"/>
      <c r="GZ22" s="186"/>
      <c r="HA22" s="186"/>
      <c r="HB22" s="186"/>
      <c r="HC22" s="186"/>
      <c r="HD22" s="186"/>
      <c r="HE22" s="186"/>
      <c r="HF22" s="186"/>
      <c r="HG22" s="186"/>
      <c r="HH22" s="186"/>
      <c r="HI22" s="186"/>
      <c r="HJ22" s="186"/>
      <c r="HK22" s="186"/>
      <c r="HL22" s="186"/>
      <c r="HM22" s="186"/>
      <c r="HN22" s="186"/>
      <c r="HO22" s="186"/>
      <c r="HP22" s="186"/>
      <c r="HQ22" s="186"/>
      <c r="HR22" s="187"/>
    </row>
    <row r="23" ht="54.75" customHeight="1">
      <c r="A23" s="207"/>
      <c r="B23" s="186"/>
      <c r="C23" s="186"/>
      <c r="D23" s="186"/>
      <c r="E23" s="186"/>
      <c r="F23" s="186"/>
      <c r="G23" s="186"/>
      <c r="H23" s="186"/>
      <c r="I23" s="186"/>
      <c r="J23" s="186"/>
      <c r="K23" s="236"/>
      <c r="L23" t="s" s="214">
        <v>117</v>
      </c>
      <c r="M23" s="215"/>
      <c r="N23" s="236"/>
      <c r="O23" t="s" s="214">
        <v>118</v>
      </c>
      <c r="P23" s="215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  <c r="DM23" s="186"/>
      <c r="DN23" s="186"/>
      <c r="DO23" s="186"/>
      <c r="DP23" s="186"/>
      <c r="DQ23" s="186"/>
      <c r="DR23" s="186"/>
      <c r="DS23" s="186"/>
      <c r="DT23" s="186"/>
      <c r="DU23" s="186"/>
      <c r="DV23" s="186"/>
      <c r="DW23" s="186"/>
      <c r="DX23" s="186"/>
      <c r="DY23" s="186"/>
      <c r="DZ23" s="186"/>
      <c r="EA23" s="186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  <c r="EY23" s="186"/>
      <c r="EZ23" s="186"/>
      <c r="FA23" s="186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  <c r="GR23" s="186"/>
      <c r="GS23" s="186"/>
      <c r="GT23" s="186"/>
      <c r="GU23" s="186"/>
      <c r="GV23" s="186"/>
      <c r="GW23" s="186"/>
      <c r="GX23" s="186"/>
      <c r="GY23" s="186"/>
      <c r="GZ23" s="186"/>
      <c r="HA23" s="186"/>
      <c r="HB23" s="186"/>
      <c r="HC23" s="186"/>
      <c r="HD23" s="186"/>
      <c r="HE23" s="186"/>
      <c r="HF23" s="186"/>
      <c r="HG23" s="186"/>
      <c r="HH23" s="186"/>
      <c r="HI23" s="186"/>
      <c r="HJ23" s="186"/>
      <c r="HK23" s="186"/>
      <c r="HL23" s="186"/>
      <c r="HM23" s="186"/>
      <c r="HN23" s="186"/>
      <c r="HO23" s="186"/>
      <c r="HP23" s="186"/>
      <c r="HQ23" s="186"/>
      <c r="HR23" s="187"/>
    </row>
    <row r="24" ht="54.75" customHeight="1">
      <c r="A24" s="207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t="s" s="214">
        <v>119</v>
      </c>
      <c r="M24" s="215"/>
      <c r="N24" s="236"/>
      <c r="O24" s="23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  <c r="EY24" s="186"/>
      <c r="EZ24" s="186"/>
      <c r="FA24" s="186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6"/>
      <c r="FM24" s="186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/>
      <c r="GE24" s="186"/>
      <c r="GF24" s="186"/>
      <c r="GG24" s="186"/>
      <c r="GH24" s="186"/>
      <c r="GI24" s="186"/>
      <c r="GJ24" s="186"/>
      <c r="GK24" s="186"/>
      <c r="GL24" s="186"/>
      <c r="GM24" s="186"/>
      <c r="GN24" s="186"/>
      <c r="GO24" s="186"/>
      <c r="GP24" s="186"/>
      <c r="GQ24" s="186"/>
      <c r="GR24" s="186"/>
      <c r="GS24" s="186"/>
      <c r="GT24" s="186"/>
      <c r="GU24" s="186"/>
      <c r="GV24" s="186"/>
      <c r="GW24" s="186"/>
      <c r="GX24" s="186"/>
      <c r="GY24" s="186"/>
      <c r="GZ24" s="186"/>
      <c r="HA24" s="186"/>
      <c r="HB24" s="186"/>
      <c r="HC24" s="186"/>
      <c r="HD24" s="186"/>
      <c r="HE24" s="186"/>
      <c r="HF24" s="186"/>
      <c r="HG24" s="186"/>
      <c r="HH24" s="186"/>
      <c r="HI24" s="186"/>
      <c r="HJ24" s="186"/>
      <c r="HK24" s="186"/>
      <c r="HL24" s="186"/>
      <c r="HM24" s="186"/>
      <c r="HN24" s="186"/>
      <c r="HO24" s="186"/>
      <c r="HP24" s="186"/>
      <c r="HQ24" s="186"/>
      <c r="HR24" s="187"/>
    </row>
    <row r="25" ht="54.75" customHeight="1">
      <c r="A25" s="207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239"/>
      <c r="N25" s="239"/>
      <c r="O25" s="239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/>
      <c r="DT25" s="186"/>
      <c r="DU25" s="186"/>
      <c r="DV25" s="186"/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  <c r="EY25" s="186"/>
      <c r="EZ25" s="186"/>
      <c r="FA25" s="186"/>
      <c r="FB25" s="186"/>
      <c r="FC25" s="186"/>
      <c r="FD25" s="186"/>
      <c r="FE25" s="186"/>
      <c r="FF25" s="186"/>
      <c r="FG25" s="186"/>
      <c r="FH25" s="186"/>
      <c r="FI25" s="186"/>
      <c r="FJ25" s="186"/>
      <c r="FK25" s="186"/>
      <c r="FL25" s="186"/>
      <c r="FM25" s="186"/>
      <c r="FN25" s="186"/>
      <c r="FO25" s="186"/>
      <c r="FP25" s="186"/>
      <c r="FQ25" s="186"/>
      <c r="FR25" s="186"/>
      <c r="FS25" s="186"/>
      <c r="FT25" s="186"/>
      <c r="FU25" s="186"/>
      <c r="FV25" s="186"/>
      <c r="FW25" s="186"/>
      <c r="FX25" s="186"/>
      <c r="FY25" s="186"/>
      <c r="FZ25" s="186"/>
      <c r="GA25" s="186"/>
      <c r="GB25" s="186"/>
      <c r="GC25" s="186"/>
      <c r="GD25" s="186"/>
      <c r="GE25" s="186"/>
      <c r="GF25" s="186"/>
      <c r="GG25" s="186"/>
      <c r="GH25" s="186"/>
      <c r="GI25" s="186"/>
      <c r="GJ25" s="186"/>
      <c r="GK25" s="186"/>
      <c r="GL25" s="186"/>
      <c r="GM25" s="186"/>
      <c r="GN25" s="186"/>
      <c r="GO25" s="186"/>
      <c r="GP25" s="186"/>
      <c r="GQ25" s="186"/>
      <c r="GR25" s="186"/>
      <c r="GS25" s="186"/>
      <c r="GT25" s="186"/>
      <c r="GU25" s="186"/>
      <c r="GV25" s="186"/>
      <c r="GW25" s="186"/>
      <c r="GX25" s="186"/>
      <c r="GY25" s="186"/>
      <c r="GZ25" s="186"/>
      <c r="HA25" s="186"/>
      <c r="HB25" s="186"/>
      <c r="HC25" s="186"/>
      <c r="HD25" s="186"/>
      <c r="HE25" s="186"/>
      <c r="HF25" s="186"/>
      <c r="HG25" s="186"/>
      <c r="HH25" s="186"/>
      <c r="HI25" s="186"/>
      <c r="HJ25" s="186"/>
      <c r="HK25" s="186"/>
      <c r="HL25" s="186"/>
      <c r="HM25" s="186"/>
      <c r="HN25" s="186"/>
      <c r="HO25" s="186"/>
      <c r="HP25" s="186"/>
      <c r="HQ25" s="186"/>
      <c r="HR25" s="187"/>
    </row>
    <row r="26" ht="54.75" customHeight="1">
      <c r="A26" s="207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  <c r="DM26" s="186"/>
      <c r="DN26" s="186"/>
      <c r="DO26" s="186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186"/>
      <c r="FI26" s="186"/>
      <c r="FJ26" s="186"/>
      <c r="FK26" s="186"/>
      <c r="FL26" s="186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86"/>
      <c r="GA26" s="186"/>
      <c r="GB26" s="186"/>
      <c r="GC26" s="186"/>
      <c r="GD26" s="186"/>
      <c r="GE26" s="186"/>
      <c r="GF26" s="186"/>
      <c r="GG26" s="186"/>
      <c r="GH26" s="186"/>
      <c r="GI26" s="186"/>
      <c r="GJ26" s="186"/>
      <c r="GK26" s="186"/>
      <c r="GL26" s="186"/>
      <c r="GM26" s="186"/>
      <c r="GN26" s="186"/>
      <c r="GO26" s="186"/>
      <c r="GP26" s="186"/>
      <c r="GQ26" s="186"/>
      <c r="GR26" s="186"/>
      <c r="GS26" s="186"/>
      <c r="GT26" s="186"/>
      <c r="GU26" s="186"/>
      <c r="GV26" s="186"/>
      <c r="GW26" s="186"/>
      <c r="GX26" s="186"/>
      <c r="GY26" s="186"/>
      <c r="GZ26" s="186"/>
      <c r="HA26" s="186"/>
      <c r="HB26" s="186"/>
      <c r="HC26" s="186"/>
      <c r="HD26" s="186"/>
      <c r="HE26" s="186"/>
      <c r="HF26" s="186"/>
      <c r="HG26" s="186"/>
      <c r="HH26" s="186"/>
      <c r="HI26" s="186"/>
      <c r="HJ26" s="186"/>
      <c r="HK26" s="186"/>
      <c r="HL26" s="186"/>
      <c r="HM26" s="186"/>
      <c r="HN26" s="186"/>
      <c r="HO26" s="186"/>
      <c r="HP26" s="186"/>
      <c r="HQ26" s="186"/>
      <c r="HR26" s="187"/>
    </row>
    <row r="27" ht="54.75" customHeight="1">
      <c r="A27" s="240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7"/>
    </row>
    <row r="28" ht="54.75" customHeight="1">
      <c r="A28" t="s" s="241">
        <v>120</v>
      </c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3"/>
      <c r="Q28" s="244"/>
      <c r="R28" s="245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7"/>
    </row>
    <row r="29" ht="24.75" customHeight="1">
      <c r="A29" t="s" s="246">
        <v>121</v>
      </c>
      <c r="B29" s="247"/>
      <c r="C29" s="248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50"/>
      <c r="R29" s="250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7"/>
    </row>
    <row r="30" ht="21" customHeight="1">
      <c r="A30" t="s" s="251">
        <v>122</v>
      </c>
      <c r="B30" s="252"/>
      <c r="C30" s="253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0"/>
      <c r="R30" s="250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  <c r="DM30" s="186"/>
      <c r="DN30" s="186"/>
      <c r="DO30" s="186"/>
      <c r="DP30" s="186"/>
      <c r="DQ30" s="186"/>
      <c r="DR30" s="186"/>
      <c r="DS30" s="186"/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  <c r="EY30" s="186"/>
      <c r="EZ30" s="186"/>
      <c r="FA30" s="186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  <c r="GR30" s="186"/>
      <c r="GS30" s="186"/>
      <c r="GT30" s="186"/>
      <c r="GU30" s="186"/>
      <c r="GV30" s="186"/>
      <c r="GW30" s="186"/>
      <c r="GX30" s="186"/>
      <c r="GY30" s="186"/>
      <c r="GZ30" s="186"/>
      <c r="HA30" s="186"/>
      <c r="HB30" s="186"/>
      <c r="HC30" s="186"/>
      <c r="HD30" s="186"/>
      <c r="HE30" s="186"/>
      <c r="HF30" s="186"/>
      <c r="HG30" s="186"/>
      <c r="HH30" s="186"/>
      <c r="HI30" s="186"/>
      <c r="HJ30" s="186"/>
      <c r="HK30" s="186"/>
      <c r="HL30" s="186"/>
      <c r="HM30" s="186"/>
      <c r="HN30" s="186"/>
      <c r="HO30" s="186"/>
      <c r="HP30" s="186"/>
      <c r="HQ30" s="186"/>
      <c r="HR30" s="187"/>
    </row>
    <row r="31" ht="24" customHeight="1">
      <c r="A31" t="s" s="251">
        <v>123</v>
      </c>
      <c r="B31" s="252"/>
      <c r="C31" s="253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0"/>
      <c r="R31" s="250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  <c r="DM31" s="186"/>
      <c r="DN31" s="186"/>
      <c r="DO31" s="186"/>
      <c r="DP31" s="186"/>
      <c r="DQ31" s="186"/>
      <c r="DR31" s="186"/>
      <c r="DS31" s="186"/>
      <c r="DT31" s="186"/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  <c r="EY31" s="186"/>
      <c r="EZ31" s="186"/>
      <c r="FA31" s="186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  <c r="GR31" s="186"/>
      <c r="GS31" s="186"/>
      <c r="GT31" s="186"/>
      <c r="GU31" s="186"/>
      <c r="GV31" s="186"/>
      <c r="GW31" s="186"/>
      <c r="GX31" s="186"/>
      <c r="GY31" s="186"/>
      <c r="GZ31" s="186"/>
      <c r="HA31" s="186"/>
      <c r="HB31" s="186"/>
      <c r="HC31" s="186"/>
      <c r="HD31" s="186"/>
      <c r="HE31" s="186"/>
      <c r="HF31" s="186"/>
      <c r="HG31" s="186"/>
      <c r="HH31" s="186"/>
      <c r="HI31" s="186"/>
      <c r="HJ31" s="186"/>
      <c r="HK31" s="186"/>
      <c r="HL31" s="186"/>
      <c r="HM31" s="186"/>
      <c r="HN31" s="186"/>
      <c r="HO31" s="186"/>
      <c r="HP31" s="186"/>
      <c r="HQ31" s="186"/>
      <c r="HR31" s="187"/>
    </row>
    <row r="32" ht="22.5" customHeight="1">
      <c r="A32" t="s" s="251">
        <v>124</v>
      </c>
      <c r="B32" s="252"/>
      <c r="C32" s="253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0"/>
      <c r="R32" s="250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  <c r="DM32" s="186"/>
      <c r="DN32" s="186"/>
      <c r="DO32" s="186"/>
      <c r="DP32" s="186"/>
      <c r="DQ32" s="186"/>
      <c r="DR32" s="186"/>
      <c r="DS32" s="186"/>
      <c r="DT32" s="186"/>
      <c r="DU32" s="186"/>
      <c r="DV32" s="186"/>
      <c r="DW32" s="186"/>
      <c r="DX32" s="186"/>
      <c r="DY32" s="186"/>
      <c r="DZ32" s="186"/>
      <c r="EA32" s="186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6"/>
      <c r="EO32" s="186"/>
      <c r="EP32" s="186"/>
      <c r="EQ32" s="186"/>
      <c r="ER32" s="186"/>
      <c r="ES32" s="186"/>
      <c r="ET32" s="186"/>
      <c r="EU32" s="186"/>
      <c r="EV32" s="186"/>
      <c r="EW32" s="186"/>
      <c r="EX32" s="186"/>
      <c r="EY32" s="186"/>
      <c r="EZ32" s="186"/>
      <c r="FA32" s="186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  <c r="GR32" s="186"/>
      <c r="GS32" s="186"/>
      <c r="GT32" s="186"/>
      <c r="GU32" s="186"/>
      <c r="GV32" s="186"/>
      <c r="GW32" s="186"/>
      <c r="GX32" s="186"/>
      <c r="GY32" s="186"/>
      <c r="GZ32" s="186"/>
      <c r="HA32" s="186"/>
      <c r="HB32" s="186"/>
      <c r="HC32" s="186"/>
      <c r="HD32" s="186"/>
      <c r="HE32" s="186"/>
      <c r="HF32" s="186"/>
      <c r="HG32" s="186"/>
      <c r="HH32" s="186"/>
      <c r="HI32" s="186"/>
      <c r="HJ32" s="186"/>
      <c r="HK32" s="186"/>
      <c r="HL32" s="186"/>
      <c r="HM32" s="186"/>
      <c r="HN32" s="186"/>
      <c r="HO32" s="186"/>
      <c r="HP32" s="186"/>
      <c r="HQ32" s="186"/>
      <c r="HR32" s="187"/>
    </row>
    <row r="33" ht="21" customHeight="1">
      <c r="A33" t="s" s="255">
        <v>125</v>
      </c>
      <c r="B33" s="256"/>
      <c r="C33" s="257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0"/>
      <c r="R33" s="250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  <c r="DM33" s="186"/>
      <c r="DN33" s="186"/>
      <c r="DO33" s="186"/>
      <c r="DP33" s="186"/>
      <c r="DQ33" s="186"/>
      <c r="DR33" s="186"/>
      <c r="DS33" s="186"/>
      <c r="DT33" s="186"/>
      <c r="DU33" s="186"/>
      <c r="DV33" s="186"/>
      <c r="DW33" s="186"/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  <c r="EY33" s="186"/>
      <c r="EZ33" s="186"/>
      <c r="FA33" s="186"/>
      <c r="FB33" s="186"/>
      <c r="FC33" s="186"/>
      <c r="FD33" s="186"/>
      <c r="FE33" s="186"/>
      <c r="FF33" s="186"/>
      <c r="FG33" s="186"/>
      <c r="FH33" s="186"/>
      <c r="FI33" s="186"/>
      <c r="FJ33" s="186"/>
      <c r="FK33" s="186"/>
      <c r="FL33" s="186"/>
      <c r="FM33" s="186"/>
      <c r="FN33" s="186"/>
      <c r="FO33" s="186"/>
      <c r="FP33" s="186"/>
      <c r="FQ33" s="186"/>
      <c r="FR33" s="186"/>
      <c r="FS33" s="186"/>
      <c r="FT33" s="186"/>
      <c r="FU33" s="186"/>
      <c r="FV33" s="186"/>
      <c r="FW33" s="186"/>
      <c r="FX33" s="186"/>
      <c r="FY33" s="186"/>
      <c r="FZ33" s="186"/>
      <c r="GA33" s="186"/>
      <c r="GB33" s="186"/>
      <c r="GC33" s="186"/>
      <c r="GD33" s="186"/>
      <c r="GE33" s="186"/>
      <c r="GF33" s="186"/>
      <c r="GG33" s="186"/>
      <c r="GH33" s="186"/>
      <c r="GI33" s="186"/>
      <c r="GJ33" s="186"/>
      <c r="GK33" s="186"/>
      <c r="GL33" s="186"/>
      <c r="GM33" s="186"/>
      <c r="GN33" s="186"/>
      <c r="GO33" s="186"/>
      <c r="GP33" s="186"/>
      <c r="GQ33" s="186"/>
      <c r="GR33" s="186"/>
      <c r="GS33" s="186"/>
      <c r="GT33" s="186"/>
      <c r="GU33" s="186"/>
      <c r="GV33" s="186"/>
      <c r="GW33" s="186"/>
      <c r="GX33" s="186"/>
      <c r="GY33" s="186"/>
      <c r="GZ33" s="186"/>
      <c r="HA33" s="186"/>
      <c r="HB33" s="186"/>
      <c r="HC33" s="186"/>
      <c r="HD33" s="186"/>
      <c r="HE33" s="186"/>
      <c r="HF33" s="186"/>
      <c r="HG33" s="186"/>
      <c r="HH33" s="186"/>
      <c r="HI33" s="186"/>
      <c r="HJ33" s="186"/>
      <c r="HK33" s="186"/>
      <c r="HL33" s="186"/>
      <c r="HM33" s="186"/>
      <c r="HN33" s="186"/>
      <c r="HO33" s="186"/>
      <c r="HP33" s="186"/>
      <c r="HQ33" s="186"/>
      <c r="HR33" s="187"/>
    </row>
    <row r="34" ht="54.75" customHeight="1">
      <c r="A34" t="s" s="241">
        <v>126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3"/>
      <c r="Q34" s="244"/>
      <c r="R34" s="245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  <c r="DM34" s="186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/>
      <c r="EV34" s="186"/>
      <c r="EW34" s="186"/>
      <c r="EX34" s="186"/>
      <c r="EY34" s="186"/>
      <c r="EZ34" s="186"/>
      <c r="FA34" s="186"/>
      <c r="FB34" s="186"/>
      <c r="FC34" s="186"/>
      <c r="FD34" s="186"/>
      <c r="FE34" s="186"/>
      <c r="FF34" s="186"/>
      <c r="FG34" s="186"/>
      <c r="FH34" s="186"/>
      <c r="FI34" s="186"/>
      <c r="FJ34" s="186"/>
      <c r="FK34" s="186"/>
      <c r="FL34" s="186"/>
      <c r="FM34" s="186"/>
      <c r="FN34" s="186"/>
      <c r="FO34" s="186"/>
      <c r="FP34" s="186"/>
      <c r="FQ34" s="186"/>
      <c r="FR34" s="186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7"/>
    </row>
    <row r="35" ht="54.75" customHeight="1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1"/>
      <c r="Q35" s="262"/>
      <c r="R35" s="263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  <c r="DM35" s="186"/>
      <c r="DN35" s="186"/>
      <c r="DO35" s="186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/>
      <c r="EW35" s="186"/>
      <c r="EX35" s="186"/>
      <c r="EY35" s="186"/>
      <c r="EZ35" s="186"/>
      <c r="FA35" s="186"/>
      <c r="FB35" s="186"/>
      <c r="FC35" s="186"/>
      <c r="FD35" s="186"/>
      <c r="FE35" s="186"/>
      <c r="FF35" s="186"/>
      <c r="FG35" s="186"/>
      <c r="FH35" s="186"/>
      <c r="FI35" s="186"/>
      <c r="FJ35" s="186"/>
      <c r="FK35" s="186"/>
      <c r="FL35" s="186"/>
      <c r="FM35" s="186"/>
      <c r="FN35" s="186"/>
      <c r="FO35" s="186"/>
      <c r="FP35" s="186"/>
      <c r="FQ35" s="186"/>
      <c r="FR35" s="186"/>
      <c r="FS35" s="186"/>
      <c r="FT35" s="186"/>
      <c r="FU35" s="186"/>
      <c r="FV35" s="186"/>
      <c r="FW35" s="186"/>
      <c r="FX35" s="186"/>
      <c r="FY35" s="186"/>
      <c r="FZ35" s="186"/>
      <c r="GA35" s="186"/>
      <c r="GB35" s="186"/>
      <c r="GC35" s="186"/>
      <c r="GD35" s="186"/>
      <c r="GE35" s="186"/>
      <c r="GF35" s="186"/>
      <c r="GG35" s="186"/>
      <c r="GH35" s="186"/>
      <c r="GI35" s="186"/>
      <c r="GJ35" s="186"/>
      <c r="GK35" s="186"/>
      <c r="GL35" s="186"/>
      <c r="GM35" s="186"/>
      <c r="GN35" s="186"/>
      <c r="GO35" s="186"/>
      <c r="GP35" s="186"/>
      <c r="GQ35" s="186"/>
      <c r="GR35" s="186"/>
      <c r="GS35" s="186"/>
      <c r="GT35" s="186"/>
      <c r="GU35" s="186"/>
      <c r="GV35" s="186"/>
      <c r="GW35" s="186"/>
      <c r="GX35" s="186"/>
      <c r="GY35" s="186"/>
      <c r="GZ35" s="186"/>
      <c r="HA35" s="186"/>
      <c r="HB35" s="186"/>
      <c r="HC35" s="186"/>
      <c r="HD35" s="186"/>
      <c r="HE35" s="186"/>
      <c r="HF35" s="186"/>
      <c r="HG35" s="186"/>
      <c r="HH35" s="186"/>
      <c r="HI35" s="186"/>
      <c r="HJ35" s="186"/>
      <c r="HK35" s="186"/>
      <c r="HL35" s="186"/>
      <c r="HM35" s="186"/>
      <c r="HN35" s="186"/>
      <c r="HO35" s="186"/>
      <c r="HP35" s="186"/>
      <c r="HQ35" s="186"/>
      <c r="HR35" s="187"/>
    </row>
    <row r="36" ht="54.75" customHeight="1">
      <c r="A36" s="264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6"/>
      <c r="Q36" s="273"/>
      <c r="R36" s="274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268"/>
      <c r="CO36" s="268"/>
      <c r="CP36" s="268"/>
      <c r="CQ36" s="268"/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  <c r="DM36" s="268"/>
      <c r="DN36" s="268"/>
      <c r="DO36" s="268"/>
      <c r="DP36" s="268"/>
      <c r="DQ36" s="268"/>
      <c r="DR36" s="268"/>
      <c r="DS36" s="268"/>
      <c r="DT36" s="268"/>
      <c r="DU36" s="268"/>
      <c r="DV36" s="268"/>
      <c r="DW36" s="268"/>
      <c r="DX36" s="268"/>
      <c r="DY36" s="268"/>
      <c r="DZ36" s="268"/>
      <c r="EA36" s="268"/>
      <c r="EB36" s="268"/>
      <c r="EC36" s="268"/>
      <c r="ED36" s="268"/>
      <c r="EE36" s="268"/>
      <c r="EF36" s="268"/>
      <c r="EG36" s="268"/>
      <c r="EH36" s="268"/>
      <c r="EI36" s="268"/>
      <c r="EJ36" s="268"/>
      <c r="EK36" s="268"/>
      <c r="EL36" s="268"/>
      <c r="EM36" s="268"/>
      <c r="EN36" s="268"/>
      <c r="EO36" s="268"/>
      <c r="EP36" s="268"/>
      <c r="EQ36" s="268"/>
      <c r="ER36" s="268"/>
      <c r="ES36" s="268"/>
      <c r="ET36" s="268"/>
      <c r="EU36" s="268"/>
      <c r="EV36" s="268"/>
      <c r="EW36" s="268"/>
      <c r="EX36" s="268"/>
      <c r="EY36" s="268"/>
      <c r="EZ36" s="268"/>
      <c r="FA36" s="268"/>
      <c r="FB36" s="268"/>
      <c r="FC36" s="268"/>
      <c r="FD36" s="268"/>
      <c r="FE36" s="268"/>
      <c r="FF36" s="268"/>
      <c r="FG36" s="268"/>
      <c r="FH36" s="268"/>
      <c r="FI36" s="268"/>
      <c r="FJ36" s="268"/>
      <c r="FK36" s="268"/>
      <c r="FL36" s="268"/>
      <c r="FM36" s="268"/>
      <c r="FN36" s="268"/>
      <c r="FO36" s="268"/>
      <c r="FP36" s="268"/>
      <c r="FQ36" s="268"/>
      <c r="FR36" s="268"/>
      <c r="FS36" s="268"/>
      <c r="FT36" s="268"/>
      <c r="FU36" s="268"/>
      <c r="FV36" s="268"/>
      <c r="FW36" s="268"/>
      <c r="FX36" s="268"/>
      <c r="FY36" s="268"/>
      <c r="FZ36" s="268"/>
      <c r="GA36" s="268"/>
      <c r="GB36" s="268"/>
      <c r="GC36" s="268"/>
      <c r="GD36" s="268"/>
      <c r="GE36" s="268"/>
      <c r="GF36" s="268"/>
      <c r="GG36" s="268"/>
      <c r="GH36" s="268"/>
      <c r="GI36" s="268"/>
      <c r="GJ36" s="268"/>
      <c r="GK36" s="268"/>
      <c r="GL36" s="268"/>
      <c r="GM36" s="268"/>
      <c r="GN36" s="268"/>
      <c r="GO36" s="268"/>
      <c r="GP36" s="268"/>
      <c r="GQ36" s="268"/>
      <c r="GR36" s="268"/>
      <c r="GS36" s="268"/>
      <c r="GT36" s="268"/>
      <c r="GU36" s="268"/>
      <c r="GV36" s="268"/>
      <c r="GW36" s="268"/>
      <c r="GX36" s="268"/>
      <c r="GY36" s="268"/>
      <c r="GZ36" s="268"/>
      <c r="HA36" s="268"/>
      <c r="HB36" s="268"/>
      <c r="HC36" s="268"/>
      <c r="HD36" s="268"/>
      <c r="HE36" s="268"/>
      <c r="HF36" s="268"/>
      <c r="HG36" s="268"/>
      <c r="HH36" s="268"/>
      <c r="HI36" s="268"/>
      <c r="HJ36" s="268"/>
      <c r="HK36" s="268"/>
      <c r="HL36" s="268"/>
      <c r="HM36" s="268"/>
      <c r="HN36" s="268"/>
      <c r="HO36" s="268"/>
      <c r="HP36" s="268"/>
      <c r="HQ36" s="268"/>
      <c r="HR36" s="269"/>
    </row>
  </sheetData>
  <mergeCells count="53">
    <mergeCell ref="A34:P34"/>
    <mergeCell ref="A35:P36"/>
    <mergeCell ref="C1:G1"/>
    <mergeCell ref="N1:P1"/>
    <mergeCell ref="A2:P2"/>
    <mergeCell ref="I4:P4"/>
    <mergeCell ref="B7:F7"/>
    <mergeCell ref="I7:P7"/>
    <mergeCell ref="B9:E9"/>
    <mergeCell ref="I9:O9"/>
    <mergeCell ref="B10:E10"/>
    <mergeCell ref="I10:O10"/>
    <mergeCell ref="B11:E11"/>
    <mergeCell ref="I11:O11"/>
    <mergeCell ref="I12:O12"/>
    <mergeCell ref="B14:F14"/>
    <mergeCell ref="I14:P14"/>
    <mergeCell ref="B16:E16"/>
    <mergeCell ref="I16:J16"/>
    <mergeCell ref="L16:M16"/>
    <mergeCell ref="O16:P16"/>
    <mergeCell ref="B17:E17"/>
    <mergeCell ref="I17:J17"/>
    <mergeCell ref="L17:M17"/>
    <mergeCell ref="O17:P17"/>
    <mergeCell ref="B18:E18"/>
    <mergeCell ref="I18:J18"/>
    <mergeCell ref="L18:M18"/>
    <mergeCell ref="O18:P18"/>
    <mergeCell ref="B19:E19"/>
    <mergeCell ref="I19:J19"/>
    <mergeCell ref="L19:M19"/>
    <mergeCell ref="O19:P19"/>
    <mergeCell ref="B20:E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L23:M23"/>
    <mergeCell ref="O23:P23"/>
    <mergeCell ref="L24:M24"/>
    <mergeCell ref="A28:P28"/>
    <mergeCell ref="A29:B29"/>
    <mergeCell ref="C29:P33"/>
    <mergeCell ref="A30:B30"/>
    <mergeCell ref="A31:B31"/>
    <mergeCell ref="A32:B32"/>
    <mergeCell ref="A33:B33"/>
  </mergeCells>
  <pageMargins left="0.7" right="0.7" top="0.75" bottom="0.75" header="0.3" footer="0.3"/>
  <pageSetup firstPageNumber="1" fitToHeight="1" fitToWidth="1" scale="42" useFirstPageNumber="0" orientation="portrait" pageOrder="downThenOver"/>
  <headerFooter>
    <oddFooter>&amp;C&amp;"Helvetica Neue,Regular"&amp;12&amp;K000000&amp;P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48"/>
  <sheetViews>
    <sheetView workbookViewId="0" showGridLines="0" defaultGridColor="1"/>
  </sheetViews>
  <sheetFormatPr defaultColWidth="14.3333" defaultRowHeight="21.75" customHeight="1" outlineLevelRow="0" outlineLevelCol="0"/>
  <cols>
    <col min="1" max="3" width="14.3516" style="279" customWidth="1"/>
    <col min="4" max="4" width="15" style="279" customWidth="1"/>
    <col min="5" max="5" width="15.8516" style="279" customWidth="1"/>
    <col min="6" max="8" width="14.3516" style="279" customWidth="1"/>
    <col min="9" max="9" width="11.3516" style="279" customWidth="1"/>
    <col min="10" max="10" width="17.6719" style="279" customWidth="1"/>
    <col min="11" max="13" width="14.3516" style="279" customWidth="1"/>
    <col min="14" max="14" width="16.5" style="279" customWidth="1"/>
    <col min="15" max="15" width="16.6719" style="279" customWidth="1"/>
    <col min="16" max="19" width="14.3516" style="279" customWidth="1"/>
    <col min="20" max="16384" width="14.3516" style="279" customWidth="1"/>
  </cols>
  <sheetData>
    <row r="1" ht="98.25" customHeight="1">
      <c r="A1" s="2"/>
      <c r="B1" s="3"/>
      <c r="C1" t="s" s="4">
        <v>0</v>
      </c>
      <c r="D1" s="5"/>
      <c r="E1" s="5"/>
      <c r="F1" s="3"/>
      <c r="G1" s="5"/>
      <c r="H1" t="s" s="4">
        <v>1</v>
      </c>
      <c r="I1" s="3"/>
      <c r="J1" s="3"/>
      <c r="K1" t="s" s="4">
        <v>2</v>
      </c>
      <c r="L1" s="3"/>
      <c r="M1" t="s" s="4">
        <v>3</v>
      </c>
      <c r="N1" s="3"/>
      <c r="O1" t="s" s="6">
        <v>4</v>
      </c>
      <c r="P1" s="7"/>
      <c r="Q1" s="8"/>
      <c r="R1" s="8"/>
      <c r="S1" s="9"/>
    </row>
    <row r="2" ht="51.75" customHeight="1">
      <c r="A2" t="s" s="10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3"/>
      <c r="R2" s="14"/>
      <c r="S2" s="15"/>
    </row>
    <row r="3" ht="22.5" customHeight="1">
      <c r="A3" s="16"/>
      <c r="B3" s="17"/>
      <c r="C3" s="17"/>
      <c r="D3" s="17"/>
      <c r="E3" s="18"/>
      <c r="F3" s="18"/>
      <c r="G3" s="17"/>
      <c r="H3" s="17"/>
      <c r="I3" s="17"/>
      <c r="J3" s="17"/>
      <c r="K3" s="18"/>
      <c r="L3" s="17"/>
      <c r="M3" s="17"/>
      <c r="N3" s="17"/>
      <c r="O3" s="17"/>
      <c r="P3" s="18"/>
      <c r="Q3" s="14"/>
      <c r="R3" s="14"/>
      <c r="S3" s="15"/>
    </row>
    <row r="4" ht="45.95" customHeight="1">
      <c r="A4" s="19"/>
      <c r="B4" t="s" s="20">
        <v>6</v>
      </c>
      <c r="C4" s="21"/>
      <c r="D4" s="22"/>
      <c r="E4" s="23"/>
      <c r="F4" s="24"/>
      <c r="G4" t="s" s="25">
        <v>7</v>
      </c>
      <c r="H4" s="26"/>
      <c r="I4" s="26"/>
      <c r="J4" s="27"/>
      <c r="K4" s="28"/>
      <c r="L4" t="s" s="20">
        <v>8</v>
      </c>
      <c r="M4" s="21"/>
      <c r="N4" s="21"/>
      <c r="O4" t="s" s="29">
        <v>9</v>
      </c>
      <c r="P4" s="23"/>
      <c r="Q4" s="14"/>
      <c r="R4" s="14"/>
      <c r="S4" s="15"/>
    </row>
    <row r="5" ht="45.95" customHeight="1">
      <c r="A5" s="19"/>
      <c r="B5" t="s" s="30">
        <v>10</v>
      </c>
      <c r="C5" s="31"/>
      <c r="D5" s="32"/>
      <c r="E5" s="23"/>
      <c r="F5" s="24"/>
      <c r="G5" t="s" s="33">
        <v>11</v>
      </c>
      <c r="H5" s="34"/>
      <c r="I5" s="35"/>
      <c r="J5" s="32"/>
      <c r="K5" s="28"/>
      <c r="L5" t="s" s="30">
        <v>12</v>
      </c>
      <c r="M5" s="31"/>
      <c r="N5" s="36">
        <v>0.15</v>
      </c>
      <c r="O5" s="37" cm="1">
        <f t="array" ref="O5">IF(D7/8100&lt;1,1,D7/8100)</f>
        <v>1</v>
      </c>
      <c r="P5" s="23"/>
      <c r="Q5" s="14"/>
      <c r="R5" s="14"/>
      <c r="S5" s="15"/>
    </row>
    <row r="6" ht="45.95" customHeight="1">
      <c r="A6" s="19"/>
      <c r="B6" t="s" s="30">
        <v>13</v>
      </c>
      <c r="C6" s="31"/>
      <c r="D6" s="38" cm="1">
        <f t="array" ref="D6">D5*0.85</f>
        <v>0</v>
      </c>
      <c r="E6" s="23"/>
      <c r="F6" s="24"/>
      <c r="G6" t="s" s="39">
        <v>14</v>
      </c>
      <c r="H6" s="40"/>
      <c r="I6" s="41"/>
      <c r="J6" s="42"/>
      <c r="K6" s="28"/>
      <c r="L6" t="s" s="43">
        <v>15</v>
      </c>
      <c r="M6" s="44"/>
      <c r="N6" s="36">
        <v>0.05</v>
      </c>
      <c r="O6" s="37" cm="1">
        <f t="array" ref="O6">IF(D8*N6&lt;1,1,D8*N6)</f>
      </c>
      <c r="P6" s="23"/>
      <c r="Q6" s="14"/>
      <c r="R6" s="14"/>
      <c r="S6" s="15"/>
    </row>
    <row r="7" ht="45.95" customHeight="1">
      <c r="A7" s="19"/>
      <c r="B7" t="s" s="43">
        <v>12</v>
      </c>
      <c r="C7" s="44"/>
      <c r="D7" s="38" cm="1">
        <f t="array" ref="D7">D5*0.15</f>
        <v>0</v>
      </c>
      <c r="E7" s="23"/>
      <c r="F7" s="24"/>
      <c r="G7" t="s" s="39">
        <v>16</v>
      </c>
      <c r="H7" s="40"/>
      <c r="I7" s="41"/>
      <c r="J7" s="45" cm="1">
        <f t="array" ref="J7">J5*J6</f>
        <v>0</v>
      </c>
      <c r="K7" s="28"/>
      <c r="L7" t="s" s="46">
        <v>17</v>
      </c>
      <c r="M7" s="47"/>
      <c r="N7" s="48">
        <v>0.3</v>
      </c>
      <c r="O7" s="49" cm="1">
        <f t="array" ref="O7">IF(D8*N7&lt;1,1,D8*N7)</f>
      </c>
      <c r="P7" s="23"/>
      <c r="Q7" s="14"/>
      <c r="R7" s="14"/>
      <c r="S7" s="15"/>
    </row>
    <row r="8" ht="45.95" customHeight="1">
      <c r="A8" s="19"/>
      <c r="B8" t="s" s="46">
        <v>18</v>
      </c>
      <c r="C8" s="47"/>
      <c r="D8" s="49" cm="1">
        <f t="array" ref="D8">D5/N14</f>
      </c>
      <c r="E8" s="23"/>
      <c r="F8" s="24"/>
      <c r="G8" t="s" s="50">
        <v>19</v>
      </c>
      <c r="H8" s="51"/>
      <c r="I8" s="52"/>
      <c r="J8" s="49" cm="1">
        <f t="array" ref="J8">D5*1.1</f>
        <v>0</v>
      </c>
      <c r="K8" s="23"/>
      <c r="L8" t="s" s="53">
        <v>20</v>
      </c>
      <c r="M8" s="54"/>
      <c r="N8" s="54"/>
      <c r="O8" s="54"/>
      <c r="P8" s="14"/>
      <c r="Q8" s="14"/>
      <c r="R8" s="14"/>
      <c r="S8" s="15"/>
    </row>
    <row r="9" ht="45.95" customHeight="1">
      <c r="A9" s="55"/>
      <c r="B9" s="56"/>
      <c r="C9" s="56"/>
      <c r="D9" s="56"/>
      <c r="E9" s="14"/>
      <c r="F9" s="14"/>
      <c r="G9" t="s" s="53">
        <v>21</v>
      </c>
      <c r="H9" s="54"/>
      <c r="I9" s="54"/>
      <c r="J9" s="54"/>
      <c r="K9" s="14"/>
      <c r="L9" s="57"/>
      <c r="M9" s="14"/>
      <c r="N9" s="14"/>
      <c r="O9" s="14"/>
      <c r="P9" s="14"/>
      <c r="Q9" s="14"/>
      <c r="R9" s="14"/>
      <c r="S9" s="15"/>
    </row>
    <row r="10" ht="45.95" customHeight="1">
      <c r="A10" s="55"/>
      <c r="B10" s="58"/>
      <c r="C10" s="58"/>
      <c r="D10" s="58"/>
      <c r="E10" s="58"/>
      <c r="F10" s="14"/>
      <c r="G10" s="58"/>
      <c r="H10" s="58"/>
      <c r="I10" s="58"/>
      <c r="J10" s="58"/>
      <c r="K10" s="14"/>
      <c r="L10" t="s" s="59">
        <v>22</v>
      </c>
      <c r="M10" s="60"/>
      <c r="N10" t="s" s="59">
        <v>23</v>
      </c>
      <c r="O10" s="60"/>
      <c r="P10" s="14"/>
      <c r="Q10" s="14"/>
      <c r="R10" s="14"/>
      <c r="S10" s="15"/>
    </row>
    <row r="11" ht="45.95" customHeight="1">
      <c r="A11" s="19"/>
      <c r="B11" t="s" s="25">
        <v>24</v>
      </c>
      <c r="C11" s="26"/>
      <c r="D11" s="26"/>
      <c r="E11" s="27"/>
      <c r="F11" s="28"/>
      <c r="G11" t="s" s="61">
        <v>25</v>
      </c>
      <c r="H11" s="62"/>
      <c r="I11" s="62"/>
      <c r="J11" s="63"/>
      <c r="K11" s="28"/>
      <c r="L11" t="s" s="64">
        <v>26</v>
      </c>
      <c r="M11" s="65"/>
      <c r="N11" t="s" s="64">
        <v>26</v>
      </c>
      <c r="O11" s="65"/>
      <c r="P11" s="23"/>
      <c r="Q11" s="14"/>
      <c r="R11" s="14"/>
      <c r="S11" s="15"/>
    </row>
    <row r="12" ht="45.95" customHeight="1">
      <c r="A12" s="19"/>
      <c r="B12" t="s" s="33">
        <v>27</v>
      </c>
      <c r="C12" s="35"/>
      <c r="D12" s="66" cm="1">
        <f t="array" ref="D12">D5/D31</f>
      </c>
      <c r="E12" s="67"/>
      <c r="F12" s="28"/>
      <c r="G12" t="s" s="68">
        <v>28</v>
      </c>
      <c r="H12" s="69"/>
      <c r="I12" s="70"/>
      <c r="J12" s="71"/>
      <c r="K12" s="28"/>
      <c r="L12" s="72"/>
      <c r="M12" s="73"/>
      <c r="N12" s="72"/>
      <c r="O12" s="73"/>
      <c r="P12" s="23"/>
      <c r="Q12" s="14"/>
      <c r="R12" s="14"/>
      <c r="S12" s="15"/>
    </row>
    <row r="13" ht="45.95" customHeight="1">
      <c r="A13" s="19"/>
      <c r="B13" t="s" s="50">
        <v>9</v>
      </c>
      <c r="C13" s="52"/>
      <c r="D13" s="74" cm="1">
        <f t="array" ref="D13">D8/D31</f>
      </c>
      <c r="E13" s="75"/>
      <c r="F13" s="23"/>
      <c r="G13" s="56"/>
      <c r="H13" s="56"/>
      <c r="I13" s="76"/>
      <c r="J13" s="76"/>
      <c r="K13" s="24"/>
      <c r="L13" t="s" s="64">
        <v>29</v>
      </c>
      <c r="M13" s="65"/>
      <c r="N13" t="s" s="64">
        <v>29</v>
      </c>
      <c r="O13" s="65"/>
      <c r="P13" s="23"/>
      <c r="Q13" s="14"/>
      <c r="R13" s="14"/>
      <c r="S13" s="15"/>
    </row>
    <row r="14" ht="45.95" customHeight="1">
      <c r="A14" s="55"/>
      <c r="B14" s="56"/>
      <c r="C14" s="56"/>
      <c r="D14" s="56"/>
      <c r="E14" s="56"/>
      <c r="F14" s="14"/>
      <c r="G14" s="14"/>
      <c r="H14" s="14"/>
      <c r="I14" s="77"/>
      <c r="J14" s="77"/>
      <c r="K14" s="24"/>
      <c r="L14" s="72"/>
      <c r="M14" s="73"/>
      <c r="N14" s="72"/>
      <c r="O14" s="73"/>
      <c r="P14" s="23"/>
      <c r="Q14" s="14"/>
      <c r="R14" s="14"/>
      <c r="S14" s="15"/>
    </row>
    <row r="15" ht="45.95" customHeight="1">
      <c r="A15" s="55"/>
      <c r="B15" s="14"/>
      <c r="C15" s="58"/>
      <c r="D15" s="58"/>
      <c r="E15" s="58"/>
      <c r="F15" s="58"/>
      <c r="G15" s="58"/>
      <c r="H15" s="58"/>
      <c r="I15" s="14"/>
      <c r="J15" s="14"/>
      <c r="K15" s="14"/>
      <c r="L15" s="56"/>
      <c r="M15" s="56"/>
      <c r="N15" s="56"/>
      <c r="O15" s="56"/>
      <c r="P15" s="14"/>
      <c r="Q15" s="14"/>
      <c r="R15" s="14"/>
      <c r="S15" s="15"/>
    </row>
    <row r="16" ht="55.5" customHeight="1">
      <c r="A16" s="55"/>
      <c r="B16" s="78"/>
      <c r="C16" t="s" s="79">
        <v>30</v>
      </c>
      <c r="D16" t="s" s="80">
        <v>31</v>
      </c>
      <c r="E16" t="s" s="80">
        <v>32</v>
      </c>
      <c r="F16" t="s" s="80">
        <v>33</v>
      </c>
      <c r="G16" t="s" s="80">
        <v>34</v>
      </c>
      <c r="H16" t="s" s="81">
        <v>35</v>
      </c>
      <c r="I16" s="82"/>
      <c r="J16" s="77"/>
      <c r="K16" s="14"/>
      <c r="L16" s="14"/>
      <c r="M16" s="14"/>
      <c r="N16" s="14"/>
      <c r="O16" s="14"/>
      <c r="P16" s="14"/>
      <c r="Q16" s="14"/>
      <c r="R16" s="14"/>
      <c r="S16" s="15"/>
    </row>
    <row r="17" ht="45.95" customHeight="1">
      <c r="A17" s="19"/>
      <c r="B17" t="s" s="83">
        <v>36</v>
      </c>
      <c r="C17" s="84"/>
      <c r="D17" s="85"/>
      <c r="E17" s="85"/>
      <c r="F17" s="85"/>
      <c r="G17" s="86"/>
      <c r="H17" s="87" cm="1">
        <f t="array" ref="H17">SUM(C17:G17)</f>
        <v>0</v>
      </c>
      <c r="I17" s="82"/>
      <c r="J17" s="77"/>
      <c r="K17" s="77"/>
      <c r="L17" s="77"/>
      <c r="M17" s="77"/>
      <c r="N17" s="77"/>
      <c r="O17" s="77"/>
      <c r="P17" s="14"/>
      <c r="Q17" s="14"/>
      <c r="R17" s="14"/>
      <c r="S17" s="15"/>
    </row>
    <row r="18" ht="45.95" customHeight="1">
      <c r="A18" s="19"/>
      <c r="B18" t="s" s="88">
        <v>37</v>
      </c>
      <c r="C18" s="89" cm="1">
        <f t="array" ref="C18">C17/$H$17</f>
      </c>
      <c r="D18" s="36" cm="1">
        <f t="array" ref="D18">D17/$H$17</f>
      </c>
      <c r="E18" s="36" cm="1">
        <f t="array" ref="E18">E17/$H$17</f>
      </c>
      <c r="F18" s="36" cm="1">
        <f t="array" ref="F18">F17/$H$17</f>
      </c>
      <c r="G18" s="36" cm="1">
        <f t="array" ref="G18">G17/$H$17</f>
      </c>
      <c r="H18" s="90" cm="1">
        <f t="array" ref="H18">H17/$H$17</f>
      </c>
      <c r="I18" s="82"/>
      <c r="J18" s="77"/>
      <c r="K18" s="77"/>
      <c r="L18" s="77"/>
      <c r="M18" s="77"/>
      <c r="N18" s="77"/>
      <c r="O18" s="77"/>
      <c r="P18" s="14"/>
      <c r="Q18" s="14"/>
      <c r="R18" s="14"/>
      <c r="S18" s="15"/>
    </row>
    <row r="19" ht="45.95" customHeight="1">
      <c r="A19" s="19"/>
      <c r="B19" t="s" s="91">
        <v>38</v>
      </c>
      <c r="C19" s="92" cm="1">
        <f t="array" ref="C19">C18*$D$5</f>
      </c>
      <c r="D19" s="93" cm="1">
        <f t="array" ref="D19">D18*$D$5</f>
      </c>
      <c r="E19" s="93" cm="1">
        <f t="array" ref="E19">E18*$D$5</f>
      </c>
      <c r="F19" s="93" cm="1">
        <f t="array" ref="F19">F18*$D$5</f>
      </c>
      <c r="G19" s="93" cm="1">
        <f t="array" ref="G19">G18*$D$5</f>
      </c>
      <c r="H19" s="49" cm="1">
        <f t="array" ref="H19">SUM(C19:G19)</f>
      </c>
      <c r="I19" s="82"/>
      <c r="J19" s="77"/>
      <c r="K19" s="77"/>
      <c r="L19" s="77"/>
      <c r="M19" s="77"/>
      <c r="N19" s="77"/>
      <c r="O19" s="77"/>
      <c r="P19" s="14"/>
      <c r="Q19" s="14"/>
      <c r="R19" s="14"/>
      <c r="S19" s="15"/>
    </row>
    <row r="20" ht="45.95" customHeight="1">
      <c r="A20" s="55"/>
      <c r="B20" s="56"/>
      <c r="C20" s="56"/>
      <c r="D20" s="56"/>
      <c r="E20" s="94"/>
      <c r="F20" s="94"/>
      <c r="G20" s="56"/>
      <c r="H20" s="56"/>
      <c r="I20" s="77"/>
      <c r="J20" s="77"/>
      <c r="K20" s="14"/>
      <c r="L20" s="14"/>
      <c r="M20" s="14"/>
      <c r="N20" s="14"/>
      <c r="O20" s="14"/>
      <c r="P20" s="14"/>
      <c r="Q20" s="14"/>
      <c r="R20" s="14"/>
      <c r="S20" s="15"/>
    </row>
    <row r="21" ht="35.25" customHeight="1">
      <c r="A21" s="5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14"/>
      <c r="N21" s="14"/>
      <c r="O21" s="14"/>
      <c r="P21" s="14"/>
      <c r="Q21" s="14"/>
      <c r="R21" s="14"/>
      <c r="S21" s="15"/>
    </row>
    <row r="22" ht="78.75" customHeight="1">
      <c r="A22" s="96"/>
      <c r="B22" t="s" s="97">
        <v>39</v>
      </c>
      <c r="C22" s="98"/>
      <c r="D22" t="s" s="97">
        <v>40</v>
      </c>
      <c r="E22" s="98"/>
      <c r="F22" t="s" s="97">
        <v>41</v>
      </c>
      <c r="G22" t="s" s="97">
        <v>42</v>
      </c>
      <c r="H22" s="98"/>
      <c r="I22" t="s" s="97">
        <v>43</v>
      </c>
      <c r="J22" s="98"/>
      <c r="K22" t="s" s="97">
        <v>44</v>
      </c>
      <c r="L22" t="s" s="97">
        <v>45</v>
      </c>
      <c r="M22" t="s" s="99">
        <v>46</v>
      </c>
      <c r="N22" s="100"/>
      <c r="O22" s="100"/>
      <c r="P22" s="100"/>
      <c r="Q22" s="14"/>
      <c r="R22" s="14"/>
      <c r="S22" s="15"/>
    </row>
    <row r="23" ht="45.95" customHeight="1">
      <c r="A23" s="96"/>
      <c r="B23" s="271" cm="1">
        <f t="array" ref="B23">'DOMINGO'!B23</f>
        <v>0</v>
      </c>
      <c r="C23" s="44"/>
      <c r="D23" s="101"/>
      <c r="E23" s="101"/>
      <c r="F23" s="102" cm="1">
        <f t="array" ref="F23">($D$5/$D$31)*D23</f>
      </c>
      <c r="G23" s="103" cm="1">
        <f t="array" ref="G23">(($D$8-$O$5)/$D$31)*D23</f>
      </c>
      <c r="H23" s="104"/>
      <c r="I23" s="105"/>
      <c r="J23" s="105"/>
      <c r="K23" s="105"/>
      <c r="L23" s="105"/>
      <c r="M23" s="106"/>
      <c r="N23" s="100"/>
      <c r="O23" s="100"/>
      <c r="P23" s="100"/>
      <c r="Q23" s="77"/>
      <c r="R23" s="14"/>
      <c r="S23" s="15"/>
    </row>
    <row r="24" ht="45.95" customHeight="1">
      <c r="A24" s="96"/>
      <c r="B24" s="271" cm="1">
        <f t="array" ref="B24">'DOMINGO'!B24</f>
        <v>0</v>
      </c>
      <c r="C24" s="44"/>
      <c r="D24" s="101"/>
      <c r="E24" s="101"/>
      <c r="F24" s="102" cm="1">
        <f t="array" ref="F24">($D$5/$D$31)*D24</f>
      </c>
      <c r="G24" s="103" cm="1">
        <f t="array" ref="G24">(($D$8-$O$5)/$D$31)*D24</f>
      </c>
      <c r="H24" s="104"/>
      <c r="I24" s="105"/>
      <c r="J24" s="105"/>
      <c r="K24" s="105"/>
      <c r="L24" s="105"/>
      <c r="M24" s="106"/>
      <c r="N24" s="100"/>
      <c r="O24" s="100"/>
      <c r="P24" s="100"/>
      <c r="Q24" s="107"/>
      <c r="R24" s="14"/>
      <c r="S24" s="15"/>
    </row>
    <row r="25" ht="45.95" customHeight="1">
      <c r="A25" s="96"/>
      <c r="B25" s="271" cm="1">
        <f t="array" ref="B25">'DOMINGO'!B25</f>
        <v>0</v>
      </c>
      <c r="C25" s="44"/>
      <c r="D25" s="109"/>
      <c r="E25" s="110"/>
      <c r="F25" s="102" cm="1">
        <f t="array" ref="F25">($D$5/$D$31)*D25</f>
      </c>
      <c r="G25" s="103" cm="1">
        <f t="array" ref="G25">(($D$8-$O$5)/$D$31)*D25</f>
      </c>
      <c r="H25" s="104"/>
      <c r="I25" s="44"/>
      <c r="J25" s="44"/>
      <c r="K25" s="105"/>
      <c r="L25" s="105"/>
      <c r="M25" s="106"/>
      <c r="N25" s="100"/>
      <c r="O25" s="100"/>
      <c r="P25" s="100"/>
      <c r="Q25" s="107"/>
      <c r="R25" s="14"/>
      <c r="S25" s="15"/>
    </row>
    <row r="26" ht="45.95" customHeight="1">
      <c r="A26" s="96"/>
      <c r="B26" s="271" cm="1">
        <f t="array" ref="B26">'DOMINGO'!B26</f>
        <v>0</v>
      </c>
      <c r="C26" s="44"/>
      <c r="D26" s="109"/>
      <c r="E26" s="110"/>
      <c r="F26" s="102" cm="1">
        <f t="array" ref="F26">($D$5/$D$31)*D26</f>
      </c>
      <c r="G26" s="103" cm="1">
        <f t="array" ref="G26">(($D$8-$O$5)/$D$31)*D26</f>
      </c>
      <c r="H26" s="104"/>
      <c r="I26" s="44"/>
      <c r="J26" s="44"/>
      <c r="K26" s="105"/>
      <c r="L26" s="105"/>
      <c r="M26" s="106"/>
      <c r="N26" s="100"/>
      <c r="O26" s="100"/>
      <c r="P26" s="100"/>
      <c r="Q26" s="107"/>
      <c r="R26" s="14"/>
      <c r="S26" s="15"/>
    </row>
    <row r="27" ht="45.95" customHeight="1">
      <c r="A27" s="96"/>
      <c r="B27" s="271" cm="1">
        <f t="array" ref="B27">'DOMINGO'!B27</f>
        <v>0</v>
      </c>
      <c r="C27" s="44"/>
      <c r="D27" s="109"/>
      <c r="E27" s="110"/>
      <c r="F27" s="102" cm="1">
        <f t="array" ref="F27">($D$5/$D$31)*D27</f>
      </c>
      <c r="G27" s="103" cm="1">
        <f t="array" ref="G27">(($D$8-$O$5)/$D$31)*D27</f>
      </c>
      <c r="H27" s="104"/>
      <c r="I27" s="44"/>
      <c r="J27" s="44"/>
      <c r="K27" s="105"/>
      <c r="L27" s="105"/>
      <c r="M27" s="106"/>
      <c r="N27" s="100"/>
      <c r="O27" s="100"/>
      <c r="P27" s="100"/>
      <c r="Q27" s="107"/>
      <c r="R27" s="14"/>
      <c r="S27" s="15"/>
    </row>
    <row r="28" ht="45.95" customHeight="1">
      <c r="A28" s="96"/>
      <c r="B28" s="271" cm="1">
        <f t="array" ref="B28">'DOMINGO'!B28</f>
        <v>0</v>
      </c>
      <c r="C28" s="44"/>
      <c r="D28" s="109"/>
      <c r="E28" s="110"/>
      <c r="F28" s="102" cm="1">
        <f t="array" ref="F28">($D$5/$D$31)*D28</f>
      </c>
      <c r="G28" s="103" cm="1">
        <f t="array" ref="G28">(($D$8-$O$5)/$D$31)*D28</f>
      </c>
      <c r="H28" s="104"/>
      <c r="I28" s="44"/>
      <c r="J28" s="44"/>
      <c r="K28" s="105"/>
      <c r="L28" s="105"/>
      <c r="M28" s="106"/>
      <c r="N28" s="100"/>
      <c r="O28" s="100"/>
      <c r="P28" s="100"/>
      <c r="Q28" s="107"/>
      <c r="R28" s="14"/>
      <c r="S28" s="15"/>
    </row>
    <row r="29" ht="45.95" customHeight="1">
      <c r="A29" s="96"/>
      <c r="B29" s="271" cm="1">
        <f t="array" ref="B29">'DOMINGO'!B29</f>
        <v>0</v>
      </c>
      <c r="C29" s="44"/>
      <c r="D29" s="109"/>
      <c r="E29" s="110"/>
      <c r="F29" s="102" cm="1">
        <f t="array" ref="F29">($D$5/$D$31)*D29</f>
      </c>
      <c r="G29" s="103" cm="1">
        <f t="array" ref="G29">(($D$8-$O$5)/$D$31)*D29</f>
      </c>
      <c r="H29" s="104"/>
      <c r="I29" s="44"/>
      <c r="J29" s="44"/>
      <c r="K29" s="105"/>
      <c r="L29" s="105"/>
      <c r="M29" s="106"/>
      <c r="N29" s="100"/>
      <c r="O29" s="100"/>
      <c r="P29" s="100"/>
      <c r="Q29" s="107"/>
      <c r="R29" s="14"/>
      <c r="S29" s="15"/>
    </row>
    <row r="30" ht="45.95" customHeight="1">
      <c r="A30" s="96"/>
      <c r="B30" s="271" cm="1">
        <f t="array" ref="B30">'DOMINGO'!B30</f>
        <v>0</v>
      </c>
      <c r="C30" s="44"/>
      <c r="D30" s="101"/>
      <c r="E30" s="101"/>
      <c r="F30" s="102" cm="1">
        <f t="array" ref="F30">($D$5/$D$31)*D30</f>
      </c>
      <c r="G30" s="103" cm="1">
        <f t="array" ref="G30">(($D$8-$O$5)/$D$31)*D30</f>
      </c>
      <c r="H30" s="104"/>
      <c r="I30" s="105"/>
      <c r="J30" s="105"/>
      <c r="K30" s="105"/>
      <c r="L30" s="105"/>
      <c r="M30" s="106"/>
      <c r="N30" s="100"/>
      <c r="O30" s="100"/>
      <c r="P30" s="100"/>
      <c r="Q30" s="77"/>
      <c r="R30" s="14"/>
      <c r="S30" s="15"/>
    </row>
    <row r="31" ht="45.95" customHeight="1">
      <c r="A31" s="96"/>
      <c r="B31" t="s" s="111">
        <v>35</v>
      </c>
      <c r="C31" s="112"/>
      <c r="D31" s="102" cm="1">
        <f t="array" ref="D31">SUM(D23:D30)</f>
        <v>0</v>
      </c>
      <c r="E31" s="102"/>
      <c r="F31" s="102" cm="1">
        <f t="array" ref="F31">SUM(F23:F30)</f>
      </c>
      <c r="G31" s="103" cm="1">
        <f t="array" ref="G31">SUM(G23:H30)</f>
      </c>
      <c r="H31" s="104"/>
      <c r="I31" s="102" cm="1">
        <f t="array" ref="I31">SUM(I23:I30)</f>
        <v>0</v>
      </c>
      <c r="J31" s="102"/>
      <c r="K31" s="102" cm="1">
        <f t="array" ref="K31">O6</f>
      </c>
      <c r="L31" s="102" cm="1">
        <f t="array" ref="L31">O7</f>
      </c>
      <c r="M31" s="106"/>
      <c r="N31" s="100"/>
      <c r="O31" s="100"/>
      <c r="P31" s="100"/>
      <c r="Q31" s="77"/>
      <c r="R31" s="14"/>
      <c r="S31" s="15"/>
    </row>
    <row r="32" ht="45.95" customHeight="1">
      <c r="A32" s="113"/>
      <c r="B32" s="51"/>
      <c r="C32" s="58"/>
      <c r="D32" s="51"/>
      <c r="E32" s="51"/>
      <c r="F32" s="51"/>
      <c r="G32" s="51"/>
      <c r="H32" s="51"/>
      <c r="I32" s="114"/>
      <c r="J32" s="114"/>
      <c r="K32" s="114"/>
      <c r="L32" s="114"/>
      <c r="M32" s="115"/>
      <c r="N32" s="115"/>
      <c r="O32" s="115"/>
      <c r="P32" s="58"/>
      <c r="Q32" s="14"/>
      <c r="R32" s="14"/>
      <c r="S32" s="15"/>
    </row>
    <row r="33" ht="62.25" customHeight="1">
      <c r="A33" t="s" s="116">
        <v>47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73"/>
      <c r="Q33" s="118"/>
      <c r="R33" s="119"/>
      <c r="S33" s="15"/>
    </row>
    <row r="34" ht="56.45" customHeight="1">
      <c r="A34" s="120"/>
      <c r="B34" s="121"/>
      <c r="C34" s="121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56"/>
      <c r="O34" s="56"/>
      <c r="P34" s="56"/>
      <c r="Q34" s="14"/>
      <c r="R34" s="14"/>
      <c r="S34" s="15"/>
    </row>
    <row r="35" ht="73.5" customHeight="1">
      <c r="A35" s="122"/>
      <c r="B35" t="s" s="123">
        <v>48</v>
      </c>
      <c r="C35" s="124"/>
      <c r="D35" t="s" s="125">
        <v>49</v>
      </c>
      <c r="E35" t="s" s="126">
        <v>50</v>
      </c>
      <c r="F35" t="s" s="127">
        <v>51</v>
      </c>
      <c r="G35" t="s" s="126">
        <v>52</v>
      </c>
      <c r="H35" t="s" s="127">
        <v>53</v>
      </c>
      <c r="I35" t="s" s="128">
        <v>54</v>
      </c>
      <c r="J35" s="129"/>
      <c r="K35" t="s" s="130">
        <v>55</v>
      </c>
      <c r="L35" t="s" s="130">
        <v>56</v>
      </c>
      <c r="M35" t="s" s="130">
        <v>57</v>
      </c>
      <c r="N35" t="s" s="131">
        <v>58</v>
      </c>
      <c r="O35" s="132"/>
      <c r="P35" t="s" s="133">
        <v>59</v>
      </c>
      <c r="Q35" s="14"/>
      <c r="R35" s="14"/>
      <c r="S35" s="15"/>
    </row>
    <row r="36" ht="27" customHeight="1">
      <c r="A36" s="122"/>
      <c r="B36" s="134"/>
      <c r="C36" s="135"/>
      <c r="D36" s="136" cm="1">
        <f t="array" ref="D36">D5</f>
        <v>0</v>
      </c>
      <c r="E36" s="137" cm="1">
        <f t="array" ref="E36">H48</f>
        <v>0</v>
      </c>
      <c r="F36" s="137" cm="1">
        <f t="array" ref="F36">D8</f>
      </c>
      <c r="G36" s="137" cm="1">
        <f t="array" ref="G36">I48+K48</f>
        <v>0</v>
      </c>
      <c r="H36" s="138" cm="1">
        <f t="array" ref="H36">F48/E48</f>
      </c>
      <c r="I36" s="139" cm="1">
        <f t="array" ref="I36">H36-J6</f>
      </c>
      <c r="J36" s="140"/>
      <c r="K36" s="139" cm="1">
        <f t="array" ref="K36">K48/G36</f>
      </c>
      <c r="L36" s="140" cm="1">
        <f t="array" ref="L36">M48/G36</f>
      </c>
      <c r="M36" s="141" cm="1">
        <f t="array" ref="M36">N48/G36</f>
      </c>
      <c r="N36" s="142"/>
      <c r="O36" s="14"/>
      <c r="P36" s="14"/>
      <c r="Q36" s="14"/>
      <c r="R36" s="14"/>
      <c r="S36" s="15"/>
    </row>
    <row r="37" ht="15.6" customHeight="1">
      <c r="A37" s="55"/>
      <c r="B37" s="18"/>
      <c r="C37" s="18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14"/>
      <c r="O37" s="14"/>
      <c r="P37" s="14"/>
      <c r="Q37" s="14"/>
      <c r="R37" s="14"/>
      <c r="S37" s="15"/>
    </row>
    <row r="38" ht="15.6" customHeight="1">
      <c r="A38" s="55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"/>
      <c r="P38" s="14"/>
      <c r="Q38" s="14"/>
      <c r="R38" s="14"/>
      <c r="S38" s="15"/>
    </row>
    <row r="39" ht="57.95" customHeight="1">
      <c r="A39" s="122"/>
      <c r="B39" t="s" s="144">
        <v>60</v>
      </c>
      <c r="C39" s="145"/>
      <c r="D39" t="s" s="146">
        <v>40</v>
      </c>
      <c r="E39" t="s" s="146">
        <v>61</v>
      </c>
      <c r="F39" t="s" s="146">
        <v>62</v>
      </c>
      <c r="G39" t="s" s="146">
        <v>63</v>
      </c>
      <c r="H39" t="s" s="146">
        <v>64</v>
      </c>
      <c r="I39" t="s" s="146">
        <v>65</v>
      </c>
      <c r="J39" t="s" s="146">
        <v>66</v>
      </c>
      <c r="K39" t="s" s="146">
        <v>67</v>
      </c>
      <c r="L39" t="s" s="146">
        <v>68</v>
      </c>
      <c r="M39" t="s" s="146">
        <v>69</v>
      </c>
      <c r="N39" t="s" s="147">
        <v>70</v>
      </c>
      <c r="O39" s="13"/>
      <c r="P39" s="14"/>
      <c r="Q39" s="14"/>
      <c r="R39" t="s" s="148">
        <v>71</v>
      </c>
      <c r="S39" s="15"/>
    </row>
    <row r="40" ht="45.95" customHeight="1">
      <c r="A40" s="122"/>
      <c r="B40" s="149" cm="1">
        <f t="array" ref="B40">B23</f>
        <v>0</v>
      </c>
      <c r="C40" s="150"/>
      <c r="D40" s="151" cm="1">
        <f t="array" ref="D40">D23</f>
        <v>0</v>
      </c>
      <c r="E40" s="152"/>
      <c r="F40" s="153"/>
      <c r="G40" t="str" s="150" cm="1">
        <f t="array" ref="G40">_xlfn.IFERROR(F40/E40,"0")</f>
        <v>0</v>
      </c>
      <c r="H40" s="153"/>
      <c r="I40" s="153"/>
      <c r="J40" s="153"/>
      <c r="K40" s="153"/>
      <c r="L40" t="str" s="150" cm="1">
        <f t="array" ref="L40">_xlfn.IFERROR(K40/J40,"0")</f>
        <v>0</v>
      </c>
      <c r="M40" s="153"/>
      <c r="N40" s="154"/>
      <c r="O40" s="13"/>
      <c r="P40" s="14"/>
      <c r="Q40" s="14"/>
      <c r="R40" s="14"/>
      <c r="S40" s="15"/>
    </row>
    <row r="41" ht="45.95" customHeight="1">
      <c r="A41" s="122"/>
      <c r="B41" s="149" cm="1">
        <f t="array" ref="B41">B24</f>
        <v>0</v>
      </c>
      <c r="C41" s="150"/>
      <c r="D41" s="151" cm="1">
        <f t="array" ref="D41">D24</f>
        <v>0</v>
      </c>
      <c r="E41" s="152"/>
      <c r="F41" s="153"/>
      <c r="G41" t="str" s="150" cm="1">
        <f t="array" ref="G41">_xlfn.IFERROR(F41/E41,"0")</f>
        <v>0</v>
      </c>
      <c r="H41" s="153"/>
      <c r="I41" s="153"/>
      <c r="J41" s="153"/>
      <c r="K41" s="153"/>
      <c r="L41" t="str" s="150" cm="1">
        <f t="array" ref="L41">_xlfn.IFERROR(K41/J41,"0")</f>
        <v>0</v>
      </c>
      <c r="M41" s="153"/>
      <c r="N41" s="154"/>
      <c r="O41" s="13"/>
      <c r="P41" s="14"/>
      <c r="Q41" s="14"/>
      <c r="R41" s="14"/>
      <c r="S41" s="15"/>
    </row>
    <row r="42" ht="45.95" customHeight="1">
      <c r="A42" s="122"/>
      <c r="B42" s="149" cm="1">
        <f t="array" ref="B42">B25</f>
        <v>0</v>
      </c>
      <c r="C42" s="150"/>
      <c r="D42" s="151" cm="1">
        <f t="array" ref="D42">D25</f>
        <v>0</v>
      </c>
      <c r="E42" s="152"/>
      <c r="F42" s="153"/>
      <c r="G42" t="str" s="150" cm="1">
        <f t="array" ref="G42">_xlfn.IFERROR(F42/E42,"0")</f>
        <v>0</v>
      </c>
      <c r="H42" s="153"/>
      <c r="I42" s="153"/>
      <c r="J42" s="153"/>
      <c r="K42" s="153"/>
      <c r="L42" t="str" s="150" cm="1">
        <f t="array" ref="L42">_xlfn.IFERROR(K42/J42,"0")</f>
        <v>0</v>
      </c>
      <c r="M42" s="153"/>
      <c r="N42" s="154"/>
      <c r="O42" s="13"/>
      <c r="P42" s="14"/>
      <c r="Q42" s="14"/>
      <c r="R42" s="14"/>
      <c r="S42" s="15"/>
    </row>
    <row r="43" ht="45.95" customHeight="1">
      <c r="A43" s="122"/>
      <c r="B43" s="149" cm="1">
        <f t="array" ref="B43">B26</f>
        <v>0</v>
      </c>
      <c r="C43" s="153"/>
      <c r="D43" s="151" cm="1">
        <f t="array" ref="D43">D26</f>
        <v>0</v>
      </c>
      <c r="E43" s="152"/>
      <c r="F43" s="153"/>
      <c r="G43" t="str" s="150" cm="1">
        <f t="array" ref="G43">_xlfn.IFERROR(F43/E43,"0")</f>
        <v>0</v>
      </c>
      <c r="H43" s="153"/>
      <c r="I43" s="153"/>
      <c r="J43" s="153"/>
      <c r="K43" s="153"/>
      <c r="L43" t="str" s="150" cm="1">
        <f t="array" ref="L43">_xlfn.IFERROR(K43/J43,"0")</f>
        <v>0</v>
      </c>
      <c r="M43" s="153"/>
      <c r="N43" s="154"/>
      <c r="O43" s="13"/>
      <c r="P43" s="14"/>
      <c r="Q43" s="14"/>
      <c r="R43" s="14"/>
      <c r="S43" s="15"/>
    </row>
    <row r="44" ht="45.95" customHeight="1">
      <c r="A44" s="122"/>
      <c r="B44" s="149" cm="1">
        <f t="array" ref="B44">B27</f>
        <v>0</v>
      </c>
      <c r="C44" s="153"/>
      <c r="D44" s="151" cm="1">
        <f t="array" ref="D44">D27</f>
        <v>0</v>
      </c>
      <c r="E44" s="152"/>
      <c r="F44" s="153"/>
      <c r="G44" t="str" s="150" cm="1">
        <f t="array" ref="G44">_xlfn.IFERROR(F44/E44,"0")</f>
        <v>0</v>
      </c>
      <c r="H44" s="153"/>
      <c r="I44" s="153"/>
      <c r="J44" s="153"/>
      <c r="K44" s="153"/>
      <c r="L44" t="str" s="150" cm="1">
        <f t="array" ref="L44">_xlfn.IFERROR(K44/J44,"0")</f>
        <v>0</v>
      </c>
      <c r="M44" s="153"/>
      <c r="N44" s="154"/>
      <c r="O44" s="13"/>
      <c r="P44" s="14"/>
      <c r="Q44" s="14"/>
      <c r="R44" s="14"/>
      <c r="S44" s="15"/>
    </row>
    <row r="45" ht="45.95" customHeight="1">
      <c r="A45" s="122"/>
      <c r="B45" s="149" cm="1">
        <f t="array" ref="B45">B28</f>
        <v>0</v>
      </c>
      <c r="C45" s="153"/>
      <c r="D45" s="151" cm="1">
        <f t="array" ref="D45">D28</f>
        <v>0</v>
      </c>
      <c r="E45" s="152"/>
      <c r="F45" s="153"/>
      <c r="G45" t="str" s="150" cm="1">
        <f t="array" ref="G45">_xlfn.IFERROR(F45/E45,"0")</f>
        <v>0</v>
      </c>
      <c r="H45" s="153"/>
      <c r="I45" s="153"/>
      <c r="J45" s="153"/>
      <c r="K45" s="153"/>
      <c r="L45" t="str" s="150" cm="1">
        <f t="array" ref="L45">_xlfn.IFERROR(K45/J45,"0")</f>
        <v>0</v>
      </c>
      <c r="M45" s="153"/>
      <c r="N45" s="154"/>
      <c r="O45" s="13"/>
      <c r="P45" s="14"/>
      <c r="Q45" s="14"/>
      <c r="R45" s="14"/>
      <c r="S45" s="15"/>
    </row>
    <row r="46" ht="45.95" customHeight="1">
      <c r="A46" s="122"/>
      <c r="B46" s="149" cm="1">
        <f t="array" ref="B46">B29</f>
        <v>0</v>
      </c>
      <c r="C46" s="153"/>
      <c r="D46" s="151" cm="1">
        <f t="array" ref="D46">D29</f>
        <v>0</v>
      </c>
      <c r="E46" s="152"/>
      <c r="F46" s="153"/>
      <c r="G46" t="str" s="150" cm="1">
        <f t="array" ref="G46">_xlfn.IFERROR(F46/E46,"0")</f>
        <v>0</v>
      </c>
      <c r="H46" s="153"/>
      <c r="I46" s="153"/>
      <c r="J46" s="153"/>
      <c r="K46" s="153"/>
      <c r="L46" t="str" s="150" cm="1">
        <f t="array" ref="L46">_xlfn.IFERROR(K46/J46,"0")</f>
        <v>0</v>
      </c>
      <c r="M46" s="153"/>
      <c r="N46" s="154"/>
      <c r="O46" s="13"/>
      <c r="P46" s="14"/>
      <c r="Q46" s="14"/>
      <c r="R46" s="14"/>
      <c r="S46" s="15"/>
    </row>
    <row r="47" ht="45.95" customHeight="1">
      <c r="A47" s="122"/>
      <c r="B47" s="149" cm="1">
        <f t="array" ref="B47">B30</f>
        <v>0</v>
      </c>
      <c r="C47" s="153"/>
      <c r="D47" s="151" cm="1">
        <f t="array" ref="D47">D30</f>
        <v>0</v>
      </c>
      <c r="E47" s="152"/>
      <c r="F47" s="153"/>
      <c r="G47" t="str" s="150" cm="1">
        <f t="array" ref="G47">_xlfn.IFERROR(F47/E47,"0")</f>
        <v>0</v>
      </c>
      <c r="H47" s="153"/>
      <c r="I47" s="153"/>
      <c r="J47" s="153"/>
      <c r="K47" s="153"/>
      <c r="L47" t="str" s="150" cm="1">
        <f t="array" ref="L47">_xlfn.IFERROR(K47/J47,"0")</f>
        <v>0</v>
      </c>
      <c r="M47" s="153"/>
      <c r="N47" s="154"/>
      <c r="O47" s="13"/>
      <c r="P47" s="14"/>
      <c r="Q47" s="14"/>
      <c r="R47" s="14"/>
      <c r="S47" s="15"/>
    </row>
    <row r="48" ht="45.95" customHeight="1">
      <c r="A48" s="155"/>
      <c r="B48" t="s" s="156">
        <v>35</v>
      </c>
      <c r="C48" s="157"/>
      <c r="D48" s="158" cm="1">
        <f t="array" ref="D48">SUM(D40:D42)</f>
        <v>0</v>
      </c>
      <c r="E48" s="159" cm="1">
        <f t="array" ref="E48">SUM(E40:E47)</f>
        <v>0</v>
      </c>
      <c r="F48" s="159" cm="1">
        <f t="array" ref="F48">SUM(F40:F47)</f>
        <v>0</v>
      </c>
      <c r="G48" t="str" s="157" cm="1">
        <f t="array" ref="G48">_xlfn.IFERROR(F48/E48,"0")</f>
        <v>0</v>
      </c>
      <c r="H48" s="159" cm="1">
        <f t="array" ref="H48">SUM(H40:H47)</f>
        <v>0</v>
      </c>
      <c r="I48" s="159" cm="1">
        <f t="array" ref="I48">SUM(I40:I47)</f>
        <v>0</v>
      </c>
      <c r="J48" s="159" cm="1">
        <f t="array" ref="J48">SUM(J40:J47)</f>
        <v>0</v>
      </c>
      <c r="K48" s="159" cm="1">
        <f t="array" ref="K48">SUM(K40:K47)</f>
        <v>0</v>
      </c>
      <c r="L48" t="str" s="157" cm="1">
        <f t="array" ref="L48">_xlfn.IFERROR(K48/J48,"0")</f>
        <v>0</v>
      </c>
      <c r="M48" s="159" cm="1">
        <f t="array" ref="M48">SUM(M40:M47)</f>
        <v>0</v>
      </c>
      <c r="N48" s="159" cm="1">
        <f t="array" ref="N48">SUM(N40:N47)</f>
        <v>0</v>
      </c>
      <c r="O48" s="160"/>
      <c r="P48" s="161"/>
      <c r="Q48" s="162">
        <v>3</v>
      </c>
      <c r="R48" s="161"/>
      <c r="S48" s="163"/>
    </row>
  </sheetData>
  <mergeCells count="90">
    <mergeCell ref="N12:O12"/>
    <mergeCell ref="B42:C42"/>
    <mergeCell ref="B41:C41"/>
    <mergeCell ref="B39:C39"/>
    <mergeCell ref="B40:C40"/>
    <mergeCell ref="B35:C36"/>
    <mergeCell ref="I35:J35"/>
    <mergeCell ref="I36:J36"/>
    <mergeCell ref="D25:E25"/>
    <mergeCell ref="D26:E26"/>
    <mergeCell ref="D27:E27"/>
    <mergeCell ref="C1:E1"/>
    <mergeCell ref="B4:D4"/>
    <mergeCell ref="B5:C5"/>
    <mergeCell ref="B6:C6"/>
    <mergeCell ref="B7:C7"/>
    <mergeCell ref="B48:C48"/>
    <mergeCell ref="L10:M10"/>
    <mergeCell ref="N10:O10"/>
    <mergeCell ref="B11:E11"/>
    <mergeCell ref="A33:P33"/>
    <mergeCell ref="M22:P31"/>
    <mergeCell ref="B22:C22"/>
    <mergeCell ref="B31:C31"/>
    <mergeCell ref="L12:M12"/>
    <mergeCell ref="L11:M11"/>
    <mergeCell ref="N11:O11"/>
    <mergeCell ref="L14:M14"/>
    <mergeCell ref="N14:O14"/>
    <mergeCell ref="L8:O8"/>
    <mergeCell ref="L4:N4"/>
    <mergeCell ref="L5:M5"/>
    <mergeCell ref="L6:M6"/>
    <mergeCell ref="L7:M7"/>
    <mergeCell ref="G11:J11"/>
    <mergeCell ref="D12:E12"/>
    <mergeCell ref="D13:E13"/>
    <mergeCell ref="I12:J12"/>
    <mergeCell ref="G4:J4"/>
    <mergeCell ref="G5:I5"/>
    <mergeCell ref="G6:I6"/>
    <mergeCell ref="G7:I7"/>
    <mergeCell ref="G8:I8"/>
    <mergeCell ref="I30:J30"/>
    <mergeCell ref="I31:J31"/>
    <mergeCell ref="D24:E24"/>
    <mergeCell ref="D30:E30"/>
    <mergeCell ref="D31:E31"/>
    <mergeCell ref="G31:H31"/>
    <mergeCell ref="D28:E28"/>
    <mergeCell ref="D29:E29"/>
    <mergeCell ref="O1:P1"/>
    <mergeCell ref="A2:P2"/>
    <mergeCell ref="I24:J24"/>
    <mergeCell ref="G22:H22"/>
    <mergeCell ref="B12:C12"/>
    <mergeCell ref="D22:E22"/>
    <mergeCell ref="D23:E23"/>
    <mergeCell ref="G9:J9"/>
    <mergeCell ref="B8:C8"/>
    <mergeCell ref="I22:J22"/>
    <mergeCell ref="I23:J23"/>
    <mergeCell ref="B13:C13"/>
    <mergeCell ref="G12:H12"/>
    <mergeCell ref="I25:J25"/>
    <mergeCell ref="I26:J26"/>
    <mergeCell ref="I27:J27"/>
    <mergeCell ref="I28:J28"/>
    <mergeCell ref="I29:J29"/>
    <mergeCell ref="B47:C47"/>
    <mergeCell ref="B46:C46"/>
    <mergeCell ref="B45:C45"/>
    <mergeCell ref="B44:C44"/>
    <mergeCell ref="B43:C43"/>
    <mergeCell ref="G30:H30"/>
    <mergeCell ref="G29:H29"/>
    <mergeCell ref="G28:H28"/>
    <mergeCell ref="G27:H27"/>
    <mergeCell ref="G26:H26"/>
    <mergeCell ref="G25:H25"/>
    <mergeCell ref="G24:H24"/>
    <mergeCell ref="G23:H23"/>
    <mergeCell ref="B30:C30"/>
    <mergeCell ref="B29:C29"/>
    <mergeCell ref="B28:C28"/>
    <mergeCell ref="B27:C27"/>
    <mergeCell ref="B26:C26"/>
    <mergeCell ref="B25:C25"/>
    <mergeCell ref="B24:C24"/>
    <mergeCell ref="B23:C23"/>
  </mergeCells>
  <pageMargins left="0.25" right="0.25" top="0.32" bottom="0.29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HR36"/>
  <sheetViews>
    <sheetView workbookViewId="0" showGridLines="0" defaultGridColor="1"/>
  </sheetViews>
  <sheetFormatPr defaultColWidth="16.1667" defaultRowHeight="54.75" customHeight="1" outlineLevelRow="0" outlineLevelCol="0"/>
  <cols>
    <col min="1" max="226" width="16.1719" style="280" customWidth="1"/>
    <col min="227" max="16384" width="16.1719" style="280" customWidth="1"/>
  </cols>
  <sheetData>
    <row r="1" ht="94.5" customHeight="1">
      <c r="A1" s="165"/>
      <c r="B1" s="166"/>
      <c r="C1" t="s" s="167">
        <v>73</v>
      </c>
      <c r="D1" s="168"/>
      <c r="E1" s="168"/>
      <c r="F1" s="168"/>
      <c r="G1" s="168"/>
      <c r="H1" s="169"/>
      <c r="I1" t="s" s="170">
        <v>1</v>
      </c>
      <c r="J1" s="171"/>
      <c r="K1" t="s" s="172">
        <v>2</v>
      </c>
      <c r="L1" s="173"/>
      <c r="M1" s="174"/>
      <c r="N1" t="s" s="175">
        <v>4</v>
      </c>
      <c r="O1" s="176"/>
      <c r="P1" s="177"/>
      <c r="Q1" s="178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80"/>
    </row>
    <row r="2" ht="54.75" customHeight="1">
      <c r="A2" t="s" s="181">
        <v>74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3"/>
      <c r="Q2" s="184"/>
      <c r="R2" s="185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7"/>
    </row>
    <row r="3" ht="54.75" customHeight="1">
      <c r="A3" s="188"/>
      <c r="B3" s="189"/>
      <c r="C3" s="189"/>
      <c r="D3" s="189"/>
      <c r="E3" s="189"/>
      <c r="F3" s="189"/>
      <c r="G3" s="190"/>
      <c r="H3" s="190"/>
      <c r="I3" s="189"/>
      <c r="J3" s="189"/>
      <c r="K3" s="189"/>
      <c r="L3" s="189"/>
      <c r="M3" s="189"/>
      <c r="N3" s="189"/>
      <c r="O3" s="189"/>
      <c r="P3" s="189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7"/>
    </row>
    <row r="4" ht="54.75" customHeight="1">
      <c r="A4" s="191"/>
      <c r="B4" t="s" s="192">
        <v>40</v>
      </c>
      <c r="C4" t="s" s="193">
        <v>75</v>
      </c>
      <c r="D4" t="s" s="193">
        <v>76</v>
      </c>
      <c r="E4" t="s" s="193">
        <v>77</v>
      </c>
      <c r="F4" t="s" s="194">
        <v>78</v>
      </c>
      <c r="G4" s="195"/>
      <c r="H4" s="196"/>
      <c r="I4" t="s" s="197">
        <v>79</v>
      </c>
      <c r="J4" s="198"/>
      <c r="K4" s="198"/>
      <c r="L4" s="198"/>
      <c r="M4" s="198"/>
      <c r="N4" s="198"/>
      <c r="O4" s="198"/>
      <c r="P4" s="199"/>
      <c r="Q4" s="195"/>
      <c r="R4" s="200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  <c r="FD4" s="186"/>
      <c r="FE4" s="186"/>
      <c r="FF4" s="186"/>
      <c r="FG4" s="186"/>
      <c r="FH4" s="186"/>
      <c r="FI4" s="186"/>
      <c r="FJ4" s="186"/>
      <c r="FK4" s="186"/>
      <c r="FL4" s="186"/>
      <c r="FM4" s="186"/>
      <c r="FN4" s="186"/>
      <c r="FO4" s="186"/>
      <c r="FP4" s="186"/>
      <c r="FQ4" s="186"/>
      <c r="FR4" s="186"/>
      <c r="FS4" s="186"/>
      <c r="FT4" s="186"/>
      <c r="FU4" s="186"/>
      <c r="FV4" s="186"/>
      <c r="FW4" s="186"/>
      <c r="FX4" s="186"/>
      <c r="FY4" s="186"/>
      <c r="FZ4" s="186"/>
      <c r="GA4" s="186"/>
      <c r="GB4" s="186"/>
      <c r="GC4" s="186"/>
      <c r="GD4" s="186"/>
      <c r="GE4" s="186"/>
      <c r="GF4" s="186"/>
      <c r="GG4" s="186"/>
      <c r="GH4" s="186"/>
      <c r="GI4" s="186"/>
      <c r="GJ4" s="186"/>
      <c r="GK4" s="186"/>
      <c r="GL4" s="186"/>
      <c r="GM4" s="186"/>
      <c r="GN4" s="186"/>
      <c r="GO4" s="186"/>
      <c r="GP4" s="186"/>
      <c r="GQ4" s="186"/>
      <c r="GR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  <c r="HL4" s="186"/>
      <c r="HM4" s="186"/>
      <c r="HN4" s="186"/>
      <c r="HO4" s="186"/>
      <c r="HP4" s="186"/>
      <c r="HQ4" s="186"/>
      <c r="HR4" s="187"/>
    </row>
    <row r="5" ht="54.75" customHeight="1">
      <c r="A5" s="191"/>
      <c r="B5" s="201" cm="1">
        <f t="array" ref="B5">'JUEVES'!D31</f>
        <v>0</v>
      </c>
      <c r="C5" s="202" cm="1">
        <f t="array" ref="C5">'JUEVES'!D5</f>
        <v>0</v>
      </c>
      <c r="D5" s="202" cm="1">
        <f t="array" ref="D5">'JUEVES'!D8</f>
      </c>
      <c r="E5" s="202" cm="1">
        <f t="array" ref="E5">'JUEVES'!D12</f>
      </c>
      <c r="F5" s="203" cm="1">
        <f t="array" ref="F5">'JUEVES'!D13</f>
      </c>
      <c r="G5" s="195"/>
      <c r="H5" s="196"/>
      <c r="I5" s="204"/>
      <c r="J5" s="205"/>
      <c r="K5" s="205"/>
      <c r="L5" s="205"/>
      <c r="M5" s="205"/>
      <c r="N5" s="205"/>
      <c r="O5" s="205"/>
      <c r="P5" s="206"/>
      <c r="Q5" s="195"/>
      <c r="R5" s="200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/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/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86"/>
      <c r="GI5" s="186"/>
      <c r="GJ5" s="186"/>
      <c r="GK5" s="186"/>
      <c r="GL5" s="186"/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/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7"/>
    </row>
    <row r="6" ht="54.75" customHeight="1">
      <c r="A6" s="207"/>
      <c r="B6" s="208"/>
      <c r="C6" s="208"/>
      <c r="D6" s="208"/>
      <c r="E6" s="208"/>
      <c r="F6" s="208"/>
      <c r="G6" s="186"/>
      <c r="H6" s="186"/>
      <c r="I6" s="208"/>
      <c r="J6" s="208"/>
      <c r="K6" s="208"/>
      <c r="L6" s="208"/>
      <c r="M6" s="208"/>
      <c r="N6" s="208"/>
      <c r="O6" s="208"/>
      <c r="P6" s="208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/>
      <c r="ET6" s="186"/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/>
      <c r="HC6" s="186"/>
      <c r="HD6" s="186"/>
      <c r="HE6" s="186"/>
      <c r="HF6" s="186"/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7"/>
    </row>
    <row r="7" ht="54.75" customHeight="1">
      <c r="A7" s="191"/>
      <c r="B7" t="s" s="209">
        <v>80</v>
      </c>
      <c r="C7" s="210"/>
      <c r="D7" s="210"/>
      <c r="E7" s="210"/>
      <c r="F7" s="211"/>
      <c r="G7" s="195"/>
      <c r="H7" s="196"/>
      <c r="I7" t="s" s="209">
        <v>81</v>
      </c>
      <c r="J7" s="210"/>
      <c r="K7" s="210"/>
      <c r="L7" s="210"/>
      <c r="M7" s="210"/>
      <c r="N7" s="210"/>
      <c r="O7" s="210"/>
      <c r="P7" s="211"/>
      <c r="Q7" s="195"/>
      <c r="R7" s="212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  <c r="DM7" s="186"/>
      <c r="DN7" s="186"/>
      <c r="DO7" s="186"/>
      <c r="DP7" s="186"/>
      <c r="DQ7" s="186"/>
      <c r="DR7" s="186"/>
      <c r="DS7" s="186"/>
      <c r="DT7" s="186"/>
      <c r="DU7" s="186"/>
      <c r="DV7" s="186"/>
      <c r="DW7" s="186"/>
      <c r="DX7" s="186"/>
      <c r="DY7" s="186"/>
      <c r="DZ7" s="186"/>
      <c r="EA7" s="186"/>
      <c r="EB7" s="186"/>
      <c r="EC7" s="186"/>
      <c r="ED7" s="186"/>
      <c r="EE7" s="186"/>
      <c r="EF7" s="186"/>
      <c r="EG7" s="186"/>
      <c r="EH7" s="186"/>
      <c r="EI7" s="186"/>
      <c r="EJ7" s="186"/>
      <c r="EK7" s="186"/>
      <c r="EL7" s="186"/>
      <c r="EM7" s="186"/>
      <c r="EN7" s="186"/>
      <c r="EO7" s="186"/>
      <c r="EP7" s="186"/>
      <c r="EQ7" s="186"/>
      <c r="ER7" s="186"/>
      <c r="ES7" s="186"/>
      <c r="ET7" s="186"/>
      <c r="EU7" s="186"/>
      <c r="EV7" s="186"/>
      <c r="EW7" s="186"/>
      <c r="EX7" s="186"/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6"/>
      <c r="FS7" s="186"/>
      <c r="FT7" s="186"/>
      <c r="FU7" s="186"/>
      <c r="FV7" s="186"/>
      <c r="FW7" s="186"/>
      <c r="FX7" s="186"/>
      <c r="FY7" s="186"/>
      <c r="FZ7" s="186"/>
      <c r="GA7" s="186"/>
      <c r="GB7" s="186"/>
      <c r="GC7" s="186"/>
      <c r="GD7" s="186"/>
      <c r="GE7" s="186"/>
      <c r="GF7" s="186"/>
      <c r="GG7" s="186"/>
      <c r="GH7" s="186"/>
      <c r="GI7" s="186"/>
      <c r="GJ7" s="186"/>
      <c r="GK7" s="186"/>
      <c r="GL7" s="186"/>
      <c r="GM7" s="186"/>
      <c r="GN7" s="186"/>
      <c r="GO7" s="186"/>
      <c r="GP7" s="186"/>
      <c r="GQ7" s="186"/>
      <c r="GR7" s="186"/>
      <c r="GS7" s="186"/>
      <c r="GT7" s="186"/>
      <c r="GU7" s="186"/>
      <c r="GV7" s="186"/>
      <c r="GW7" s="186"/>
      <c r="GX7" s="186"/>
      <c r="GY7" s="186"/>
      <c r="GZ7" s="186"/>
      <c r="HA7" s="186"/>
      <c r="HB7" s="186"/>
      <c r="HC7" s="186"/>
      <c r="HD7" s="186"/>
      <c r="HE7" s="186"/>
      <c r="HF7" s="186"/>
      <c r="HG7" s="186"/>
      <c r="HH7" s="186"/>
      <c r="HI7" s="186"/>
      <c r="HJ7" s="186"/>
      <c r="HK7" s="186"/>
      <c r="HL7" s="186"/>
      <c r="HM7" s="186"/>
      <c r="HN7" s="186"/>
      <c r="HO7" s="186"/>
      <c r="HP7" s="186"/>
      <c r="HQ7" s="186"/>
      <c r="HR7" s="187"/>
    </row>
    <row r="8" ht="54.75" customHeight="1">
      <c r="A8" s="207"/>
      <c r="B8" s="213"/>
      <c r="C8" s="213"/>
      <c r="D8" s="213"/>
      <c r="E8" s="213"/>
      <c r="F8" s="213"/>
      <c r="G8" s="186"/>
      <c r="H8" s="186"/>
      <c r="I8" s="213"/>
      <c r="J8" s="213"/>
      <c r="K8" s="213"/>
      <c r="L8" s="213"/>
      <c r="M8" s="213"/>
      <c r="N8" s="213"/>
      <c r="O8" s="213"/>
      <c r="P8" s="213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  <c r="DM8" s="186"/>
      <c r="DN8" s="186"/>
      <c r="DO8" s="186"/>
      <c r="DP8" s="186"/>
      <c r="DQ8" s="186"/>
      <c r="DR8" s="186"/>
      <c r="DS8" s="186"/>
      <c r="DT8" s="186"/>
      <c r="DU8" s="186"/>
      <c r="DV8" s="186"/>
      <c r="DW8" s="186"/>
      <c r="DX8" s="186"/>
      <c r="DY8" s="186"/>
      <c r="DZ8" s="186"/>
      <c r="EA8" s="186"/>
      <c r="EB8" s="186"/>
      <c r="EC8" s="186"/>
      <c r="ED8" s="186"/>
      <c r="EE8" s="186"/>
      <c r="EF8" s="186"/>
      <c r="EG8" s="186"/>
      <c r="EH8" s="186"/>
      <c r="EI8" s="186"/>
      <c r="EJ8" s="186"/>
      <c r="EK8" s="186"/>
      <c r="EL8" s="186"/>
      <c r="EM8" s="186"/>
      <c r="EN8" s="186"/>
      <c r="EO8" s="186"/>
      <c r="EP8" s="186"/>
      <c r="EQ8" s="186"/>
      <c r="ER8" s="186"/>
      <c r="ES8" s="186"/>
      <c r="ET8" s="186"/>
      <c r="EU8" s="186"/>
      <c r="EV8" s="186"/>
      <c r="EW8" s="186"/>
      <c r="EX8" s="186"/>
      <c r="EY8" s="186"/>
      <c r="EZ8" s="186"/>
      <c r="FA8" s="186"/>
      <c r="FB8" s="186"/>
      <c r="FC8" s="186"/>
      <c r="FD8" s="186"/>
      <c r="FE8" s="186"/>
      <c r="FF8" s="186"/>
      <c r="FG8" s="186"/>
      <c r="FH8" s="186"/>
      <c r="FI8" s="186"/>
      <c r="FJ8" s="186"/>
      <c r="FK8" s="186"/>
      <c r="FL8" s="186"/>
      <c r="FM8" s="186"/>
      <c r="FN8" s="186"/>
      <c r="FO8" s="186"/>
      <c r="FP8" s="186"/>
      <c r="FQ8" s="186"/>
      <c r="FR8" s="186"/>
      <c r="FS8" s="186"/>
      <c r="FT8" s="186"/>
      <c r="FU8" s="186"/>
      <c r="FV8" s="186"/>
      <c r="FW8" s="186"/>
      <c r="FX8" s="186"/>
      <c r="FY8" s="186"/>
      <c r="FZ8" s="186"/>
      <c r="GA8" s="186"/>
      <c r="GB8" s="186"/>
      <c r="GC8" s="186"/>
      <c r="GD8" s="186"/>
      <c r="GE8" s="186"/>
      <c r="GF8" s="186"/>
      <c r="GG8" s="186"/>
      <c r="GH8" s="186"/>
      <c r="GI8" s="186"/>
      <c r="GJ8" s="186"/>
      <c r="GK8" s="186"/>
      <c r="GL8" s="186"/>
      <c r="GM8" s="186"/>
      <c r="GN8" s="186"/>
      <c r="GO8" s="186"/>
      <c r="GP8" s="186"/>
      <c r="GQ8" s="186"/>
      <c r="GR8" s="186"/>
      <c r="GS8" s="186"/>
      <c r="GT8" s="186"/>
      <c r="GU8" s="186"/>
      <c r="GV8" s="186"/>
      <c r="GW8" s="186"/>
      <c r="GX8" s="186"/>
      <c r="GY8" s="186"/>
      <c r="GZ8" s="186"/>
      <c r="HA8" s="186"/>
      <c r="HB8" s="186"/>
      <c r="HC8" s="186"/>
      <c r="HD8" s="186"/>
      <c r="HE8" s="186"/>
      <c r="HF8" s="186"/>
      <c r="HG8" s="186"/>
      <c r="HH8" s="186"/>
      <c r="HI8" s="186"/>
      <c r="HJ8" s="186"/>
      <c r="HK8" s="186"/>
      <c r="HL8" s="186"/>
      <c r="HM8" s="186"/>
      <c r="HN8" s="186"/>
      <c r="HO8" s="186"/>
      <c r="HP8" s="186"/>
      <c r="HQ8" s="186"/>
      <c r="HR8" s="187"/>
    </row>
    <row r="9" ht="54.75" customHeight="1">
      <c r="A9" s="207"/>
      <c r="B9" t="s" s="214">
        <v>82</v>
      </c>
      <c r="C9" s="215"/>
      <c r="D9" s="215"/>
      <c r="E9" s="215"/>
      <c r="F9" s="216"/>
      <c r="G9" s="186"/>
      <c r="H9" s="186"/>
      <c r="I9" t="s" s="217">
        <v>83</v>
      </c>
      <c r="J9" s="218"/>
      <c r="K9" s="218"/>
      <c r="L9" s="218"/>
      <c r="M9" s="218"/>
      <c r="N9" s="218"/>
      <c r="O9" s="218"/>
      <c r="P9" s="215"/>
      <c r="Q9" s="186"/>
      <c r="R9" s="215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7"/>
    </row>
    <row r="10" ht="54.75" customHeight="1">
      <c r="A10" s="207"/>
      <c r="B10" t="s" s="214">
        <v>84</v>
      </c>
      <c r="C10" s="215"/>
      <c r="D10" s="215"/>
      <c r="E10" s="215"/>
      <c r="F10" s="219"/>
      <c r="G10" s="186"/>
      <c r="H10" s="186"/>
      <c r="I10" t="s" s="220">
        <v>85</v>
      </c>
      <c r="J10" s="221"/>
      <c r="K10" s="221"/>
      <c r="L10" s="221"/>
      <c r="M10" s="221"/>
      <c r="N10" s="221"/>
      <c r="O10" s="221"/>
      <c r="P10" s="222"/>
      <c r="Q10" s="186"/>
      <c r="R10" s="222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  <c r="DM10" s="186"/>
      <c r="DN10" s="186"/>
      <c r="DO10" s="186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6"/>
      <c r="EP10" s="186"/>
      <c r="EQ10" s="186"/>
      <c r="ER10" s="186"/>
      <c r="ES10" s="186"/>
      <c r="ET10" s="186"/>
      <c r="EU10" s="186"/>
      <c r="EV10" s="186"/>
      <c r="EW10" s="186"/>
      <c r="EX10" s="186"/>
      <c r="EY10" s="186"/>
      <c r="EZ10" s="186"/>
      <c r="FA10" s="186"/>
      <c r="FB10" s="186"/>
      <c r="FC10" s="186"/>
      <c r="FD10" s="186"/>
      <c r="FE10" s="186"/>
      <c r="FF10" s="186"/>
      <c r="FG10" s="186"/>
      <c r="FH10" s="186"/>
      <c r="FI10" s="186"/>
      <c r="FJ10" s="186"/>
      <c r="FK10" s="186"/>
      <c r="FL10" s="186"/>
      <c r="FM10" s="186"/>
      <c r="FN10" s="186"/>
      <c r="FO10" s="186"/>
      <c r="FP10" s="186"/>
      <c r="FQ10" s="186"/>
      <c r="FR10" s="186"/>
      <c r="FS10" s="186"/>
      <c r="FT10" s="186"/>
      <c r="FU10" s="186"/>
      <c r="FV10" s="186"/>
      <c r="FW10" s="186"/>
      <c r="FX10" s="186"/>
      <c r="FY10" s="186"/>
      <c r="FZ10" s="186"/>
      <c r="GA10" s="186"/>
      <c r="GB10" s="186"/>
      <c r="GC10" s="186"/>
      <c r="GD10" s="186"/>
      <c r="GE10" s="186"/>
      <c r="GF10" s="186"/>
      <c r="GG10" s="186"/>
      <c r="GH10" s="186"/>
      <c r="GI10" s="186"/>
      <c r="GJ10" s="186"/>
      <c r="GK10" s="186"/>
      <c r="GL10" s="186"/>
      <c r="GM10" s="186"/>
      <c r="GN10" s="186"/>
      <c r="GO10" s="186"/>
      <c r="GP10" s="186"/>
      <c r="GQ10" s="186"/>
      <c r="GR10" s="186"/>
      <c r="GS10" s="186"/>
      <c r="GT10" s="186"/>
      <c r="GU10" s="186"/>
      <c r="GV10" s="186"/>
      <c r="GW10" s="186"/>
      <c r="GX10" s="186"/>
      <c r="GY10" s="186"/>
      <c r="GZ10" s="186"/>
      <c r="HA10" s="186"/>
      <c r="HB10" s="186"/>
      <c r="HC10" s="186"/>
      <c r="HD10" s="186"/>
      <c r="HE10" s="186"/>
      <c r="HF10" s="186"/>
      <c r="HG10" s="186"/>
      <c r="HH10" s="186"/>
      <c r="HI10" s="186"/>
      <c r="HJ10" s="186"/>
      <c r="HK10" s="186"/>
      <c r="HL10" s="186"/>
      <c r="HM10" s="186"/>
      <c r="HN10" s="186"/>
      <c r="HO10" s="186"/>
      <c r="HP10" s="186"/>
      <c r="HQ10" s="186"/>
      <c r="HR10" s="187"/>
    </row>
    <row r="11" ht="54.75" customHeight="1">
      <c r="A11" s="207"/>
      <c r="B11" t="s" s="214">
        <v>86</v>
      </c>
      <c r="C11" s="215"/>
      <c r="D11" s="215"/>
      <c r="E11" s="215"/>
      <c r="F11" s="219"/>
      <c r="G11" s="186"/>
      <c r="H11" s="186"/>
      <c r="I11" t="s" s="220">
        <v>87</v>
      </c>
      <c r="J11" s="221"/>
      <c r="K11" s="221"/>
      <c r="L11" s="221"/>
      <c r="M11" s="221"/>
      <c r="N11" s="221"/>
      <c r="O11" s="221"/>
      <c r="P11" s="222"/>
      <c r="Q11" s="186"/>
      <c r="R11" s="222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/>
      <c r="ER11" s="186"/>
      <c r="ES11" s="186"/>
      <c r="ET11" s="186"/>
      <c r="EU11" s="186"/>
      <c r="EV11" s="186"/>
      <c r="EW11" s="186"/>
      <c r="EX11" s="186"/>
      <c r="EY11" s="186"/>
      <c r="EZ11" s="186"/>
      <c r="FA11" s="186"/>
      <c r="FB11" s="186"/>
      <c r="FC11" s="186"/>
      <c r="FD11" s="186"/>
      <c r="FE11" s="186"/>
      <c r="FF11" s="186"/>
      <c r="FG11" s="186"/>
      <c r="FH11" s="186"/>
      <c r="FI11" s="186"/>
      <c r="FJ11" s="186"/>
      <c r="FK11" s="186"/>
      <c r="FL11" s="186"/>
      <c r="FM11" s="186"/>
      <c r="FN11" s="186"/>
      <c r="FO11" s="186"/>
      <c r="FP11" s="186"/>
      <c r="FQ11" s="186"/>
      <c r="FR11" s="186"/>
      <c r="FS11" s="186"/>
      <c r="FT11" s="186"/>
      <c r="FU11" s="186"/>
      <c r="FV11" s="186"/>
      <c r="FW11" s="186"/>
      <c r="FX11" s="186"/>
      <c r="FY11" s="186"/>
      <c r="FZ11" s="186"/>
      <c r="GA11" s="186"/>
      <c r="GB11" s="186"/>
      <c r="GC11" s="186"/>
      <c r="GD11" s="186"/>
      <c r="GE11" s="186"/>
      <c r="GF11" s="186"/>
      <c r="GG11" s="186"/>
      <c r="GH11" s="186"/>
      <c r="GI11" s="186"/>
      <c r="GJ11" s="186"/>
      <c r="GK11" s="186"/>
      <c r="GL11" s="186"/>
      <c r="GM11" s="186"/>
      <c r="GN11" s="186"/>
      <c r="GO11" s="186"/>
      <c r="GP11" s="186"/>
      <c r="GQ11" s="186"/>
      <c r="GR11" s="186"/>
      <c r="GS11" s="186"/>
      <c r="GT11" s="186"/>
      <c r="GU11" s="186"/>
      <c r="GV11" s="186"/>
      <c r="GW11" s="186"/>
      <c r="GX11" s="186"/>
      <c r="GY11" s="186"/>
      <c r="GZ11" s="186"/>
      <c r="HA11" s="186"/>
      <c r="HB11" s="186"/>
      <c r="HC11" s="186"/>
      <c r="HD11" s="186"/>
      <c r="HE11" s="186"/>
      <c r="HF11" s="186"/>
      <c r="HG11" s="186"/>
      <c r="HH11" s="186"/>
      <c r="HI11" s="186"/>
      <c r="HJ11" s="186"/>
      <c r="HK11" s="186"/>
      <c r="HL11" s="186"/>
      <c r="HM11" s="186"/>
      <c r="HN11" s="186"/>
      <c r="HO11" s="186"/>
      <c r="HP11" s="186"/>
      <c r="HQ11" s="186"/>
      <c r="HR11" s="187"/>
    </row>
    <row r="12" ht="54.75" customHeight="1">
      <c r="A12" s="207"/>
      <c r="B12" s="186"/>
      <c r="C12" s="215"/>
      <c r="D12" s="215"/>
      <c r="E12" s="215"/>
      <c r="F12" s="223"/>
      <c r="G12" s="186"/>
      <c r="H12" s="186"/>
      <c r="I12" t="s" s="220">
        <v>88</v>
      </c>
      <c r="J12" s="221"/>
      <c r="K12" s="221"/>
      <c r="L12" s="221"/>
      <c r="M12" s="221"/>
      <c r="N12" s="221"/>
      <c r="O12" s="221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87"/>
    </row>
    <row r="13" ht="54.75" customHeight="1">
      <c r="A13" s="207"/>
      <c r="B13" s="224"/>
      <c r="C13" s="224"/>
      <c r="D13" s="224"/>
      <c r="E13" s="224"/>
      <c r="F13" s="224"/>
      <c r="G13" s="186"/>
      <c r="H13" s="186"/>
      <c r="I13" s="225"/>
      <c r="J13" s="226"/>
      <c r="K13" s="226"/>
      <c r="L13" s="226"/>
      <c r="M13" s="226"/>
      <c r="N13" s="226"/>
      <c r="O13" s="226"/>
      <c r="P13" s="226"/>
      <c r="Q13" s="186"/>
      <c r="R13" s="222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6"/>
      <c r="EO13" s="186"/>
      <c r="EP13" s="186"/>
      <c r="EQ13" s="186"/>
      <c r="ER13" s="186"/>
      <c r="ES13" s="186"/>
      <c r="ET13" s="186"/>
      <c r="EU13" s="186"/>
      <c r="EV13" s="186"/>
      <c r="EW13" s="186"/>
      <c r="EX13" s="186"/>
      <c r="EY13" s="186"/>
      <c r="EZ13" s="186"/>
      <c r="FA13" s="186"/>
      <c r="FB13" s="186"/>
      <c r="FC13" s="186"/>
      <c r="FD13" s="186"/>
      <c r="FE13" s="186"/>
      <c r="FF13" s="186"/>
      <c r="FG13" s="186"/>
      <c r="FH13" s="186"/>
      <c r="FI13" s="186"/>
      <c r="FJ13" s="186"/>
      <c r="FK13" s="186"/>
      <c r="FL13" s="186"/>
      <c r="FM13" s="186"/>
      <c r="FN13" s="186"/>
      <c r="FO13" s="186"/>
      <c r="FP13" s="186"/>
      <c r="FQ13" s="186"/>
      <c r="FR13" s="186"/>
      <c r="FS13" s="186"/>
      <c r="FT13" s="186"/>
      <c r="FU13" s="186"/>
      <c r="FV13" s="186"/>
      <c r="FW13" s="186"/>
      <c r="FX13" s="186"/>
      <c r="FY13" s="186"/>
      <c r="FZ13" s="186"/>
      <c r="GA13" s="186"/>
      <c r="GB13" s="186"/>
      <c r="GC13" s="186"/>
      <c r="GD13" s="186"/>
      <c r="GE13" s="186"/>
      <c r="GF13" s="186"/>
      <c r="GG13" s="186"/>
      <c r="GH13" s="186"/>
      <c r="GI13" s="186"/>
      <c r="GJ13" s="186"/>
      <c r="GK13" s="186"/>
      <c r="GL13" s="186"/>
      <c r="GM13" s="186"/>
      <c r="GN13" s="186"/>
      <c r="GO13" s="186"/>
      <c r="GP13" s="186"/>
      <c r="GQ13" s="186"/>
      <c r="GR13" s="186"/>
      <c r="GS13" s="186"/>
      <c r="GT13" s="186"/>
      <c r="GU13" s="186"/>
      <c r="GV13" s="186"/>
      <c r="GW13" s="186"/>
      <c r="GX13" s="186"/>
      <c r="GY13" s="186"/>
      <c r="GZ13" s="186"/>
      <c r="HA13" s="186"/>
      <c r="HB13" s="186"/>
      <c r="HC13" s="186"/>
      <c r="HD13" s="186"/>
      <c r="HE13" s="186"/>
      <c r="HF13" s="186"/>
      <c r="HG13" s="186"/>
      <c r="HH13" s="186"/>
      <c r="HI13" s="186"/>
      <c r="HJ13" s="186"/>
      <c r="HK13" s="186"/>
      <c r="HL13" s="186"/>
      <c r="HM13" s="186"/>
      <c r="HN13" s="186"/>
      <c r="HO13" s="186"/>
      <c r="HP13" s="186"/>
      <c r="HQ13" s="186"/>
      <c r="HR13" s="187"/>
    </row>
    <row r="14" ht="54.75" customHeight="1">
      <c r="A14" s="191"/>
      <c r="B14" t="s" s="209">
        <v>89</v>
      </c>
      <c r="C14" s="210"/>
      <c r="D14" s="210"/>
      <c r="E14" s="210"/>
      <c r="F14" s="211"/>
      <c r="G14" s="195"/>
      <c r="H14" s="227"/>
      <c r="I14" t="s" s="228">
        <v>90</v>
      </c>
      <c r="J14" s="229"/>
      <c r="K14" s="229"/>
      <c r="L14" s="229"/>
      <c r="M14" s="229"/>
      <c r="N14" s="229"/>
      <c r="O14" s="229"/>
      <c r="P14" s="230"/>
      <c r="Q14" s="231"/>
      <c r="R14" s="222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/>
      <c r="EQ14" s="186"/>
      <c r="ER14" s="186"/>
      <c r="ES14" s="186"/>
      <c r="ET14" s="186"/>
      <c r="EU14" s="186"/>
      <c r="EV14" s="186"/>
      <c r="EW14" s="186"/>
      <c r="EX14" s="186"/>
      <c r="EY14" s="186"/>
      <c r="EZ14" s="186"/>
      <c r="FA14" s="186"/>
      <c r="FB14" s="186"/>
      <c r="FC14" s="186"/>
      <c r="FD14" s="186"/>
      <c r="FE14" s="186"/>
      <c r="FF14" s="186"/>
      <c r="FG14" s="186"/>
      <c r="FH14" s="186"/>
      <c r="FI14" s="186"/>
      <c r="FJ14" s="186"/>
      <c r="FK14" s="186"/>
      <c r="FL14" s="186"/>
      <c r="FM14" s="186"/>
      <c r="FN14" s="186"/>
      <c r="FO14" s="186"/>
      <c r="FP14" s="186"/>
      <c r="FQ14" s="186"/>
      <c r="FR14" s="186"/>
      <c r="FS14" s="186"/>
      <c r="FT14" s="186"/>
      <c r="FU14" s="186"/>
      <c r="FV14" s="186"/>
      <c r="FW14" s="186"/>
      <c r="FX14" s="186"/>
      <c r="FY14" s="186"/>
      <c r="FZ14" s="186"/>
      <c r="GA14" s="186"/>
      <c r="GB14" s="186"/>
      <c r="GC14" s="186"/>
      <c r="GD14" s="186"/>
      <c r="GE14" s="186"/>
      <c r="GF14" s="186"/>
      <c r="GG14" s="186"/>
      <c r="GH14" s="186"/>
      <c r="GI14" s="186"/>
      <c r="GJ14" s="186"/>
      <c r="GK14" s="186"/>
      <c r="GL14" s="186"/>
      <c r="GM14" s="186"/>
      <c r="GN14" s="186"/>
      <c r="GO14" s="186"/>
      <c r="GP14" s="186"/>
      <c r="GQ14" s="186"/>
      <c r="GR14" s="186"/>
      <c r="GS14" s="186"/>
      <c r="GT14" s="186"/>
      <c r="GU14" s="186"/>
      <c r="GV14" s="186"/>
      <c r="GW14" s="186"/>
      <c r="GX14" s="186"/>
      <c r="GY14" s="186"/>
      <c r="GZ14" s="186"/>
      <c r="HA14" s="186"/>
      <c r="HB14" s="186"/>
      <c r="HC14" s="186"/>
      <c r="HD14" s="186"/>
      <c r="HE14" s="186"/>
      <c r="HF14" s="186"/>
      <c r="HG14" s="186"/>
      <c r="HH14" s="186"/>
      <c r="HI14" s="186"/>
      <c r="HJ14" s="186"/>
      <c r="HK14" s="186"/>
      <c r="HL14" s="186"/>
      <c r="HM14" s="186"/>
      <c r="HN14" s="186"/>
      <c r="HO14" s="186"/>
      <c r="HP14" s="186"/>
      <c r="HQ14" s="186"/>
      <c r="HR14" s="187"/>
    </row>
    <row r="15" ht="54.75" customHeight="1">
      <c r="A15" s="207"/>
      <c r="B15" s="213"/>
      <c r="C15" s="213"/>
      <c r="D15" s="213"/>
      <c r="E15" s="213"/>
      <c r="F15" s="213"/>
      <c r="G15" s="186"/>
      <c r="H15" s="186"/>
      <c r="I15" s="190"/>
      <c r="J15" s="190"/>
      <c r="K15" s="190"/>
      <c r="L15" s="190"/>
      <c r="M15" s="190"/>
      <c r="N15" s="190"/>
      <c r="O15" s="190"/>
      <c r="P15" s="190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7"/>
    </row>
    <row r="16" ht="54.75" customHeight="1">
      <c r="A16" s="207"/>
      <c r="B16" t="s" s="220">
        <v>91</v>
      </c>
      <c r="C16" s="221"/>
      <c r="D16" s="221"/>
      <c r="E16" s="221"/>
      <c r="F16" s="232"/>
      <c r="G16" s="212"/>
      <c r="H16" s="186"/>
      <c r="I16" t="s" s="233">
        <v>92</v>
      </c>
      <c r="J16" s="234"/>
      <c r="K16" s="235"/>
      <c r="L16" t="s" s="233">
        <v>93</v>
      </c>
      <c r="M16" s="234"/>
      <c r="N16" s="235"/>
      <c r="O16" t="s" s="233">
        <v>94</v>
      </c>
      <c r="P16" s="234"/>
      <c r="Q16" s="186"/>
      <c r="R16" s="234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6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/>
      <c r="EB16" s="186"/>
      <c r="EC16" s="186"/>
      <c r="ED16" s="186"/>
      <c r="EE16" s="186"/>
      <c r="EF16" s="186"/>
      <c r="EG16" s="186"/>
      <c r="EH16" s="186"/>
      <c r="EI16" s="186"/>
      <c r="EJ16" s="186"/>
      <c r="EK16" s="186"/>
      <c r="EL16" s="186"/>
      <c r="EM16" s="186"/>
      <c r="EN16" s="186"/>
      <c r="EO16" s="186"/>
      <c r="EP16" s="186"/>
      <c r="EQ16" s="186"/>
      <c r="ER16" s="186"/>
      <c r="ES16" s="186"/>
      <c r="ET16" s="186"/>
      <c r="EU16" s="186"/>
      <c r="EV16" s="186"/>
      <c r="EW16" s="186"/>
      <c r="EX16" s="186"/>
      <c r="EY16" s="186"/>
      <c r="EZ16" s="186"/>
      <c r="FA16" s="186"/>
      <c r="FB16" s="186"/>
      <c r="FC16" s="186"/>
      <c r="FD16" s="186"/>
      <c r="FE16" s="186"/>
      <c r="FF16" s="186"/>
      <c r="FG16" s="186"/>
      <c r="FH16" s="186"/>
      <c r="FI16" s="186"/>
      <c r="FJ16" s="186"/>
      <c r="FK16" s="186"/>
      <c r="FL16" s="186"/>
      <c r="FM16" s="186"/>
      <c r="FN16" s="186"/>
      <c r="FO16" s="186"/>
      <c r="FP16" s="186"/>
      <c r="FQ16" s="186"/>
      <c r="FR16" s="186"/>
      <c r="FS16" s="186"/>
      <c r="FT16" s="186"/>
      <c r="FU16" s="186"/>
      <c r="FV16" s="186"/>
      <c r="FW16" s="186"/>
      <c r="FX16" s="186"/>
      <c r="FY16" s="186"/>
      <c r="FZ16" s="186"/>
      <c r="GA16" s="186"/>
      <c r="GB16" s="186"/>
      <c r="GC16" s="186"/>
      <c r="GD16" s="186"/>
      <c r="GE16" s="186"/>
      <c r="GF16" s="186"/>
      <c r="GG16" s="186"/>
      <c r="GH16" s="186"/>
      <c r="GI16" s="186"/>
      <c r="GJ16" s="186"/>
      <c r="GK16" s="186"/>
      <c r="GL16" s="186"/>
      <c r="GM16" s="186"/>
      <c r="GN16" s="186"/>
      <c r="GO16" s="186"/>
      <c r="GP16" s="186"/>
      <c r="GQ16" s="186"/>
      <c r="GR16" s="186"/>
      <c r="GS16" s="186"/>
      <c r="GT16" s="186"/>
      <c r="GU16" s="186"/>
      <c r="GV16" s="186"/>
      <c r="GW16" s="186"/>
      <c r="GX16" s="186"/>
      <c r="GY16" s="186"/>
      <c r="GZ16" s="186"/>
      <c r="HA16" s="186"/>
      <c r="HB16" s="186"/>
      <c r="HC16" s="186"/>
      <c r="HD16" s="186"/>
      <c r="HE16" s="186"/>
      <c r="HF16" s="186"/>
      <c r="HG16" s="186"/>
      <c r="HH16" s="186"/>
      <c r="HI16" s="186"/>
      <c r="HJ16" s="186"/>
      <c r="HK16" s="186"/>
      <c r="HL16" s="186"/>
      <c r="HM16" s="186"/>
      <c r="HN16" s="186"/>
      <c r="HO16" s="186"/>
      <c r="HP16" s="186"/>
      <c r="HQ16" s="186"/>
      <c r="HR16" s="187"/>
    </row>
    <row r="17" ht="54.75" customHeight="1">
      <c r="A17" s="207"/>
      <c r="B17" t="s" s="220">
        <v>95</v>
      </c>
      <c r="C17" s="221"/>
      <c r="D17" s="221"/>
      <c r="E17" s="221"/>
      <c r="F17" s="232"/>
      <c r="G17" s="212"/>
      <c r="H17" s="186"/>
      <c r="I17" t="s" s="233">
        <v>96</v>
      </c>
      <c r="J17" s="234"/>
      <c r="K17" s="234"/>
      <c r="L17" t="s" s="233">
        <v>97</v>
      </c>
      <c r="M17" s="234"/>
      <c r="N17" s="234"/>
      <c r="O17" t="s" s="233">
        <v>98</v>
      </c>
      <c r="P17" s="234"/>
      <c r="Q17" s="186"/>
      <c r="R17" s="234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  <c r="DM17" s="186"/>
      <c r="DN17" s="186"/>
      <c r="DO17" s="186"/>
      <c r="DP17" s="186"/>
      <c r="DQ17" s="186"/>
      <c r="DR17" s="186"/>
      <c r="DS17" s="186"/>
      <c r="DT17" s="186"/>
      <c r="DU17" s="186"/>
      <c r="DV17" s="186"/>
      <c r="DW17" s="186"/>
      <c r="DX17" s="186"/>
      <c r="DY17" s="186"/>
      <c r="DZ17" s="186"/>
      <c r="EA17" s="186"/>
      <c r="EB17" s="186"/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186"/>
      <c r="EU17" s="186"/>
      <c r="EV17" s="186"/>
      <c r="EW17" s="186"/>
      <c r="EX17" s="186"/>
      <c r="EY17" s="186"/>
      <c r="EZ17" s="186"/>
      <c r="FA17" s="186"/>
      <c r="FB17" s="186"/>
      <c r="FC17" s="186"/>
      <c r="FD17" s="186"/>
      <c r="FE17" s="186"/>
      <c r="FF17" s="186"/>
      <c r="FG17" s="186"/>
      <c r="FH17" s="186"/>
      <c r="FI17" s="186"/>
      <c r="FJ17" s="186"/>
      <c r="FK17" s="186"/>
      <c r="FL17" s="186"/>
      <c r="FM17" s="186"/>
      <c r="FN17" s="186"/>
      <c r="FO17" s="186"/>
      <c r="FP17" s="186"/>
      <c r="FQ17" s="186"/>
      <c r="FR17" s="186"/>
      <c r="FS17" s="186"/>
      <c r="FT17" s="186"/>
      <c r="FU17" s="186"/>
      <c r="FV17" s="186"/>
      <c r="FW17" s="186"/>
      <c r="FX17" s="186"/>
      <c r="FY17" s="186"/>
      <c r="FZ17" s="186"/>
      <c r="GA17" s="186"/>
      <c r="GB17" s="186"/>
      <c r="GC17" s="186"/>
      <c r="GD17" s="186"/>
      <c r="GE17" s="186"/>
      <c r="GF17" s="186"/>
      <c r="GG17" s="186"/>
      <c r="GH17" s="186"/>
      <c r="GI17" s="186"/>
      <c r="GJ17" s="186"/>
      <c r="GK17" s="186"/>
      <c r="GL17" s="186"/>
      <c r="GM17" s="186"/>
      <c r="GN17" s="186"/>
      <c r="GO17" s="186"/>
      <c r="GP17" s="186"/>
      <c r="GQ17" s="186"/>
      <c r="GR17" s="186"/>
      <c r="GS17" s="186"/>
      <c r="GT17" s="186"/>
      <c r="GU17" s="186"/>
      <c r="GV17" s="186"/>
      <c r="GW17" s="186"/>
      <c r="GX17" s="186"/>
      <c r="GY17" s="186"/>
      <c r="GZ17" s="186"/>
      <c r="HA17" s="186"/>
      <c r="HB17" s="186"/>
      <c r="HC17" s="186"/>
      <c r="HD17" s="186"/>
      <c r="HE17" s="186"/>
      <c r="HF17" s="186"/>
      <c r="HG17" s="186"/>
      <c r="HH17" s="186"/>
      <c r="HI17" s="186"/>
      <c r="HJ17" s="186"/>
      <c r="HK17" s="186"/>
      <c r="HL17" s="186"/>
      <c r="HM17" s="186"/>
      <c r="HN17" s="186"/>
      <c r="HO17" s="186"/>
      <c r="HP17" s="186"/>
      <c r="HQ17" s="186"/>
      <c r="HR17" s="187"/>
    </row>
    <row r="18" ht="54.75" customHeight="1">
      <c r="A18" s="207"/>
      <c r="B18" t="s" s="220">
        <v>99</v>
      </c>
      <c r="C18" s="221"/>
      <c r="D18" s="221"/>
      <c r="E18" s="221"/>
      <c r="F18" s="232"/>
      <c r="G18" s="186"/>
      <c r="H18" s="186"/>
      <c r="I18" t="s" s="214">
        <v>100</v>
      </c>
      <c r="J18" s="215"/>
      <c r="K18" s="236"/>
      <c r="L18" t="s" s="214">
        <v>101</v>
      </c>
      <c r="M18" s="215"/>
      <c r="N18" s="236"/>
      <c r="O18" t="s" s="214">
        <v>102</v>
      </c>
      <c r="P18" s="215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  <c r="DM18" s="186"/>
      <c r="DN18" s="186"/>
      <c r="DO18" s="186"/>
      <c r="DP18" s="186"/>
      <c r="DQ18" s="186"/>
      <c r="DR18" s="186"/>
      <c r="DS18" s="186"/>
      <c r="DT18" s="186"/>
      <c r="DU18" s="186"/>
      <c r="DV18" s="186"/>
      <c r="DW18" s="186"/>
      <c r="DX18" s="186"/>
      <c r="DY18" s="186"/>
      <c r="DZ18" s="186"/>
      <c r="EA18" s="186"/>
      <c r="EB18" s="186"/>
      <c r="EC18" s="186"/>
      <c r="ED18" s="186"/>
      <c r="EE18" s="186"/>
      <c r="EF18" s="186"/>
      <c r="EG18" s="186"/>
      <c r="EH18" s="186"/>
      <c r="EI18" s="186"/>
      <c r="EJ18" s="186"/>
      <c r="EK18" s="186"/>
      <c r="EL18" s="186"/>
      <c r="EM18" s="186"/>
      <c r="EN18" s="186"/>
      <c r="EO18" s="186"/>
      <c r="EP18" s="186"/>
      <c r="EQ18" s="186"/>
      <c r="ER18" s="186"/>
      <c r="ES18" s="186"/>
      <c r="ET18" s="186"/>
      <c r="EU18" s="186"/>
      <c r="EV18" s="186"/>
      <c r="EW18" s="186"/>
      <c r="EX18" s="186"/>
      <c r="EY18" s="186"/>
      <c r="EZ18" s="186"/>
      <c r="FA18" s="186"/>
      <c r="FB18" s="186"/>
      <c r="FC18" s="186"/>
      <c r="FD18" s="186"/>
      <c r="FE18" s="186"/>
      <c r="FF18" s="186"/>
      <c r="FG18" s="186"/>
      <c r="FH18" s="186"/>
      <c r="FI18" s="186"/>
      <c r="FJ18" s="186"/>
      <c r="FK18" s="186"/>
      <c r="FL18" s="186"/>
      <c r="FM18" s="186"/>
      <c r="FN18" s="186"/>
      <c r="FO18" s="186"/>
      <c r="FP18" s="186"/>
      <c r="FQ18" s="186"/>
      <c r="FR18" s="186"/>
      <c r="FS18" s="186"/>
      <c r="FT18" s="186"/>
      <c r="FU18" s="186"/>
      <c r="FV18" s="186"/>
      <c r="FW18" s="186"/>
      <c r="FX18" s="186"/>
      <c r="FY18" s="186"/>
      <c r="FZ18" s="186"/>
      <c r="GA18" s="186"/>
      <c r="GB18" s="186"/>
      <c r="GC18" s="186"/>
      <c r="GD18" s="186"/>
      <c r="GE18" s="186"/>
      <c r="GF18" s="186"/>
      <c r="GG18" s="186"/>
      <c r="GH18" s="186"/>
      <c r="GI18" s="186"/>
      <c r="GJ18" s="186"/>
      <c r="GK18" s="186"/>
      <c r="GL18" s="186"/>
      <c r="GM18" s="186"/>
      <c r="GN18" s="186"/>
      <c r="GO18" s="186"/>
      <c r="GP18" s="186"/>
      <c r="GQ18" s="186"/>
      <c r="GR18" s="186"/>
      <c r="GS18" s="186"/>
      <c r="GT18" s="186"/>
      <c r="GU18" s="186"/>
      <c r="GV18" s="186"/>
      <c r="GW18" s="186"/>
      <c r="GX18" s="186"/>
      <c r="GY18" s="186"/>
      <c r="GZ18" s="186"/>
      <c r="HA18" s="186"/>
      <c r="HB18" s="186"/>
      <c r="HC18" s="186"/>
      <c r="HD18" s="186"/>
      <c r="HE18" s="186"/>
      <c r="HF18" s="186"/>
      <c r="HG18" s="186"/>
      <c r="HH18" s="186"/>
      <c r="HI18" s="186"/>
      <c r="HJ18" s="186"/>
      <c r="HK18" s="186"/>
      <c r="HL18" s="186"/>
      <c r="HM18" s="186"/>
      <c r="HN18" s="186"/>
      <c r="HO18" s="186"/>
      <c r="HP18" s="186"/>
      <c r="HQ18" s="186"/>
      <c r="HR18" s="187"/>
    </row>
    <row r="19" ht="54.75" customHeight="1">
      <c r="A19" s="207"/>
      <c r="B19" t="s" s="220">
        <v>103</v>
      </c>
      <c r="C19" s="221"/>
      <c r="D19" s="221"/>
      <c r="E19" s="221"/>
      <c r="F19" s="237"/>
      <c r="G19" s="186"/>
      <c r="H19" s="186"/>
      <c r="I19" t="s" s="214">
        <v>104</v>
      </c>
      <c r="J19" s="215"/>
      <c r="K19" s="236"/>
      <c r="L19" t="s" s="214">
        <v>105</v>
      </c>
      <c r="M19" s="215"/>
      <c r="N19" s="236"/>
      <c r="O19" t="s" s="214">
        <v>106</v>
      </c>
      <c r="P19" s="215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  <c r="DM19" s="186"/>
      <c r="DN19" s="186"/>
      <c r="DO19" s="186"/>
      <c r="DP19" s="186"/>
      <c r="DQ19" s="186"/>
      <c r="DR19" s="186"/>
      <c r="DS19" s="186"/>
      <c r="DT19" s="186"/>
      <c r="DU19" s="186"/>
      <c r="DV19" s="186"/>
      <c r="DW19" s="186"/>
      <c r="DX19" s="186"/>
      <c r="DY19" s="186"/>
      <c r="DZ19" s="186"/>
      <c r="EA19" s="186"/>
      <c r="EB19" s="186"/>
      <c r="EC19" s="186"/>
      <c r="ED19" s="186"/>
      <c r="EE19" s="186"/>
      <c r="EF19" s="186"/>
      <c r="EG19" s="186"/>
      <c r="EH19" s="186"/>
      <c r="EI19" s="186"/>
      <c r="EJ19" s="186"/>
      <c r="EK19" s="186"/>
      <c r="EL19" s="186"/>
      <c r="EM19" s="186"/>
      <c r="EN19" s="186"/>
      <c r="EO19" s="186"/>
      <c r="EP19" s="186"/>
      <c r="EQ19" s="186"/>
      <c r="ER19" s="186"/>
      <c r="ES19" s="186"/>
      <c r="ET19" s="186"/>
      <c r="EU19" s="186"/>
      <c r="EV19" s="186"/>
      <c r="EW19" s="186"/>
      <c r="EX19" s="186"/>
      <c r="EY19" s="186"/>
      <c r="EZ19" s="186"/>
      <c r="FA19" s="186"/>
      <c r="FB19" s="186"/>
      <c r="FC19" s="186"/>
      <c r="FD19" s="186"/>
      <c r="FE19" s="186"/>
      <c r="FF19" s="186"/>
      <c r="FG19" s="186"/>
      <c r="FH19" s="186"/>
      <c r="FI19" s="186"/>
      <c r="FJ19" s="186"/>
      <c r="FK19" s="186"/>
      <c r="FL19" s="186"/>
      <c r="FM19" s="186"/>
      <c r="FN19" s="186"/>
      <c r="FO19" s="186"/>
      <c r="FP19" s="186"/>
      <c r="FQ19" s="186"/>
      <c r="FR19" s="186"/>
      <c r="FS19" s="186"/>
      <c r="FT19" s="186"/>
      <c r="FU19" s="186"/>
      <c r="FV19" s="186"/>
      <c r="FW19" s="186"/>
      <c r="FX19" s="186"/>
      <c r="FY19" s="186"/>
      <c r="FZ19" s="186"/>
      <c r="GA19" s="186"/>
      <c r="GB19" s="186"/>
      <c r="GC19" s="186"/>
      <c r="GD19" s="186"/>
      <c r="GE19" s="186"/>
      <c r="GF19" s="186"/>
      <c r="GG19" s="186"/>
      <c r="GH19" s="186"/>
      <c r="GI19" s="186"/>
      <c r="GJ19" s="186"/>
      <c r="GK19" s="186"/>
      <c r="GL19" s="186"/>
      <c r="GM19" s="186"/>
      <c r="GN19" s="186"/>
      <c r="GO19" s="186"/>
      <c r="GP19" s="186"/>
      <c r="GQ19" s="186"/>
      <c r="GR19" s="186"/>
      <c r="GS19" s="186"/>
      <c r="GT19" s="186"/>
      <c r="GU19" s="186"/>
      <c r="GV19" s="186"/>
      <c r="GW19" s="186"/>
      <c r="GX19" s="186"/>
      <c r="GY19" s="186"/>
      <c r="GZ19" s="186"/>
      <c r="HA19" s="186"/>
      <c r="HB19" s="186"/>
      <c r="HC19" s="186"/>
      <c r="HD19" s="186"/>
      <c r="HE19" s="186"/>
      <c r="HF19" s="186"/>
      <c r="HG19" s="186"/>
      <c r="HH19" s="186"/>
      <c r="HI19" s="186"/>
      <c r="HJ19" s="186"/>
      <c r="HK19" s="186"/>
      <c r="HL19" s="186"/>
      <c r="HM19" s="186"/>
      <c r="HN19" s="186"/>
      <c r="HO19" s="186"/>
      <c r="HP19" s="186"/>
      <c r="HQ19" s="186"/>
      <c r="HR19" s="187"/>
    </row>
    <row r="20" ht="54.75" customHeight="1">
      <c r="A20" s="207"/>
      <c r="B20" t="s" s="220">
        <v>107</v>
      </c>
      <c r="C20" s="221"/>
      <c r="D20" s="221"/>
      <c r="E20" s="221"/>
      <c r="F20" s="232"/>
      <c r="G20" s="186"/>
      <c r="H20" s="186"/>
      <c r="I20" t="s" s="214">
        <v>108</v>
      </c>
      <c r="J20" s="215"/>
      <c r="K20" s="236"/>
      <c r="L20" t="s" s="214">
        <v>109</v>
      </c>
      <c r="M20" s="215"/>
      <c r="N20" s="236"/>
      <c r="O20" t="s" s="214">
        <v>110</v>
      </c>
      <c r="P20" s="215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  <c r="DM20" s="186"/>
      <c r="DN20" s="186"/>
      <c r="DO20" s="186"/>
      <c r="DP20" s="186"/>
      <c r="DQ20" s="186"/>
      <c r="DR20" s="186"/>
      <c r="DS20" s="186"/>
      <c r="DT20" s="186"/>
      <c r="DU20" s="186"/>
      <c r="DV20" s="186"/>
      <c r="DW20" s="186"/>
      <c r="DX20" s="186"/>
      <c r="DY20" s="186"/>
      <c r="DZ20" s="186"/>
      <c r="EA20" s="186"/>
      <c r="EB20" s="186"/>
      <c r="EC20" s="186"/>
      <c r="ED20" s="186"/>
      <c r="EE20" s="186"/>
      <c r="EF20" s="186"/>
      <c r="EG20" s="186"/>
      <c r="EH20" s="186"/>
      <c r="EI20" s="186"/>
      <c r="EJ20" s="186"/>
      <c r="EK20" s="186"/>
      <c r="EL20" s="186"/>
      <c r="EM20" s="186"/>
      <c r="EN20" s="186"/>
      <c r="EO20" s="186"/>
      <c r="EP20" s="186"/>
      <c r="EQ20" s="186"/>
      <c r="ER20" s="186"/>
      <c r="ES20" s="186"/>
      <c r="ET20" s="186"/>
      <c r="EU20" s="186"/>
      <c r="EV20" s="186"/>
      <c r="EW20" s="186"/>
      <c r="EX20" s="186"/>
      <c r="EY20" s="186"/>
      <c r="EZ20" s="186"/>
      <c r="FA20" s="186"/>
      <c r="FB20" s="186"/>
      <c r="FC20" s="186"/>
      <c r="FD20" s="186"/>
      <c r="FE20" s="186"/>
      <c r="FF20" s="186"/>
      <c r="FG20" s="186"/>
      <c r="FH20" s="186"/>
      <c r="FI20" s="186"/>
      <c r="FJ20" s="186"/>
      <c r="FK20" s="186"/>
      <c r="FL20" s="186"/>
      <c r="FM20" s="186"/>
      <c r="FN20" s="186"/>
      <c r="FO20" s="186"/>
      <c r="FP20" s="186"/>
      <c r="FQ20" s="186"/>
      <c r="FR20" s="186"/>
      <c r="FS20" s="186"/>
      <c r="FT20" s="186"/>
      <c r="FU20" s="186"/>
      <c r="FV20" s="186"/>
      <c r="FW20" s="186"/>
      <c r="FX20" s="186"/>
      <c r="FY20" s="186"/>
      <c r="FZ20" s="186"/>
      <c r="GA20" s="186"/>
      <c r="GB20" s="186"/>
      <c r="GC20" s="186"/>
      <c r="GD20" s="186"/>
      <c r="GE20" s="186"/>
      <c r="GF20" s="186"/>
      <c r="GG20" s="186"/>
      <c r="GH20" s="186"/>
      <c r="GI20" s="186"/>
      <c r="GJ20" s="186"/>
      <c r="GK20" s="186"/>
      <c r="GL20" s="186"/>
      <c r="GM20" s="186"/>
      <c r="GN20" s="186"/>
      <c r="GO20" s="186"/>
      <c r="GP20" s="186"/>
      <c r="GQ20" s="186"/>
      <c r="GR20" s="186"/>
      <c r="GS20" s="186"/>
      <c r="GT20" s="186"/>
      <c r="GU20" s="186"/>
      <c r="GV20" s="186"/>
      <c r="GW20" s="186"/>
      <c r="GX20" s="186"/>
      <c r="GY20" s="186"/>
      <c r="GZ20" s="186"/>
      <c r="HA20" s="186"/>
      <c r="HB20" s="186"/>
      <c r="HC20" s="186"/>
      <c r="HD20" s="186"/>
      <c r="HE20" s="186"/>
      <c r="HF20" s="186"/>
      <c r="HG20" s="186"/>
      <c r="HH20" s="186"/>
      <c r="HI20" s="186"/>
      <c r="HJ20" s="186"/>
      <c r="HK20" s="186"/>
      <c r="HL20" s="186"/>
      <c r="HM20" s="186"/>
      <c r="HN20" s="186"/>
      <c r="HO20" s="186"/>
      <c r="HP20" s="186"/>
      <c r="HQ20" s="186"/>
      <c r="HR20" s="187"/>
    </row>
    <row r="21" ht="54.75" customHeight="1">
      <c r="A21" s="207"/>
      <c r="B21" s="186"/>
      <c r="C21" s="186"/>
      <c r="D21" s="186"/>
      <c r="E21" s="186"/>
      <c r="F21" s="186"/>
      <c r="G21" s="186"/>
      <c r="H21" s="186"/>
      <c r="I21" t="s" s="214">
        <v>111</v>
      </c>
      <c r="J21" s="215"/>
      <c r="K21" s="236"/>
      <c r="L21" t="s" s="214">
        <v>112</v>
      </c>
      <c r="M21" s="215"/>
      <c r="N21" s="236"/>
      <c r="O21" t="s" s="214">
        <v>113</v>
      </c>
      <c r="P21" s="215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  <c r="EY21" s="186"/>
      <c r="EZ21" s="186"/>
      <c r="FA21" s="186"/>
      <c r="FB21" s="186"/>
      <c r="FC21" s="186"/>
      <c r="FD21" s="186"/>
      <c r="FE21" s="186"/>
      <c r="FF21" s="186"/>
      <c r="FG21" s="186"/>
      <c r="FH21" s="186"/>
      <c r="FI21" s="186"/>
      <c r="FJ21" s="186"/>
      <c r="FK21" s="186"/>
      <c r="FL21" s="186"/>
      <c r="FM21" s="186"/>
      <c r="FN21" s="186"/>
      <c r="FO21" s="186"/>
      <c r="FP21" s="186"/>
      <c r="FQ21" s="186"/>
      <c r="FR21" s="186"/>
      <c r="FS21" s="186"/>
      <c r="FT21" s="186"/>
      <c r="FU21" s="186"/>
      <c r="FV21" s="186"/>
      <c r="FW21" s="186"/>
      <c r="FX21" s="186"/>
      <c r="FY21" s="186"/>
      <c r="FZ21" s="186"/>
      <c r="GA21" s="186"/>
      <c r="GB21" s="186"/>
      <c r="GC21" s="186"/>
      <c r="GD21" s="186"/>
      <c r="GE21" s="186"/>
      <c r="GF21" s="186"/>
      <c r="GG21" s="186"/>
      <c r="GH21" s="186"/>
      <c r="GI21" s="186"/>
      <c r="GJ21" s="186"/>
      <c r="GK21" s="186"/>
      <c r="GL21" s="186"/>
      <c r="GM21" s="186"/>
      <c r="GN21" s="186"/>
      <c r="GO21" s="186"/>
      <c r="GP21" s="186"/>
      <c r="GQ21" s="186"/>
      <c r="GR21" s="186"/>
      <c r="GS21" s="186"/>
      <c r="GT21" s="186"/>
      <c r="GU21" s="186"/>
      <c r="GV21" s="186"/>
      <c r="GW21" s="186"/>
      <c r="GX21" s="186"/>
      <c r="GY21" s="186"/>
      <c r="GZ21" s="186"/>
      <c r="HA21" s="186"/>
      <c r="HB21" s="186"/>
      <c r="HC21" s="186"/>
      <c r="HD21" s="186"/>
      <c r="HE21" s="186"/>
      <c r="HF21" s="186"/>
      <c r="HG21" s="186"/>
      <c r="HH21" s="186"/>
      <c r="HI21" s="186"/>
      <c r="HJ21" s="186"/>
      <c r="HK21" s="186"/>
      <c r="HL21" s="186"/>
      <c r="HM21" s="186"/>
      <c r="HN21" s="186"/>
      <c r="HO21" s="186"/>
      <c r="HP21" s="186"/>
      <c r="HQ21" s="186"/>
      <c r="HR21" s="187"/>
    </row>
    <row r="22" ht="54.75" customHeight="1">
      <c r="A22" s="207"/>
      <c r="B22" s="186"/>
      <c r="C22" s="186"/>
      <c r="D22" s="186"/>
      <c r="E22" s="186"/>
      <c r="F22" s="186"/>
      <c r="G22" s="186"/>
      <c r="H22" s="186"/>
      <c r="I22" t="s" s="214">
        <v>114</v>
      </c>
      <c r="J22" s="215"/>
      <c r="K22" s="236"/>
      <c r="L22" t="s" s="214">
        <v>115</v>
      </c>
      <c r="M22" s="215"/>
      <c r="N22" s="238"/>
      <c r="O22" t="s" s="214">
        <v>116</v>
      </c>
      <c r="P22" s="215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  <c r="DM22" s="186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186"/>
      <c r="EU22" s="186"/>
      <c r="EV22" s="186"/>
      <c r="EW22" s="186"/>
      <c r="EX22" s="186"/>
      <c r="EY22" s="186"/>
      <c r="EZ22" s="186"/>
      <c r="FA22" s="186"/>
      <c r="FB22" s="186"/>
      <c r="FC22" s="186"/>
      <c r="FD22" s="186"/>
      <c r="FE22" s="186"/>
      <c r="FF22" s="186"/>
      <c r="FG22" s="186"/>
      <c r="FH22" s="186"/>
      <c r="FI22" s="186"/>
      <c r="FJ22" s="186"/>
      <c r="FK22" s="186"/>
      <c r="FL22" s="186"/>
      <c r="FM22" s="186"/>
      <c r="FN22" s="186"/>
      <c r="FO22" s="186"/>
      <c r="FP22" s="186"/>
      <c r="FQ22" s="186"/>
      <c r="FR22" s="186"/>
      <c r="FS22" s="186"/>
      <c r="FT22" s="186"/>
      <c r="FU22" s="186"/>
      <c r="FV22" s="186"/>
      <c r="FW22" s="186"/>
      <c r="FX22" s="186"/>
      <c r="FY22" s="186"/>
      <c r="FZ22" s="186"/>
      <c r="GA22" s="186"/>
      <c r="GB22" s="186"/>
      <c r="GC22" s="186"/>
      <c r="GD22" s="186"/>
      <c r="GE22" s="186"/>
      <c r="GF22" s="186"/>
      <c r="GG22" s="186"/>
      <c r="GH22" s="186"/>
      <c r="GI22" s="186"/>
      <c r="GJ22" s="186"/>
      <c r="GK22" s="186"/>
      <c r="GL22" s="186"/>
      <c r="GM22" s="186"/>
      <c r="GN22" s="186"/>
      <c r="GO22" s="186"/>
      <c r="GP22" s="186"/>
      <c r="GQ22" s="186"/>
      <c r="GR22" s="186"/>
      <c r="GS22" s="186"/>
      <c r="GT22" s="186"/>
      <c r="GU22" s="186"/>
      <c r="GV22" s="186"/>
      <c r="GW22" s="186"/>
      <c r="GX22" s="186"/>
      <c r="GY22" s="186"/>
      <c r="GZ22" s="186"/>
      <c r="HA22" s="186"/>
      <c r="HB22" s="186"/>
      <c r="HC22" s="186"/>
      <c r="HD22" s="186"/>
      <c r="HE22" s="186"/>
      <c r="HF22" s="186"/>
      <c r="HG22" s="186"/>
      <c r="HH22" s="186"/>
      <c r="HI22" s="186"/>
      <c r="HJ22" s="186"/>
      <c r="HK22" s="186"/>
      <c r="HL22" s="186"/>
      <c r="HM22" s="186"/>
      <c r="HN22" s="186"/>
      <c r="HO22" s="186"/>
      <c r="HP22" s="186"/>
      <c r="HQ22" s="186"/>
      <c r="HR22" s="187"/>
    </row>
    <row r="23" ht="54.75" customHeight="1">
      <c r="A23" s="207"/>
      <c r="B23" s="186"/>
      <c r="C23" s="186"/>
      <c r="D23" s="186"/>
      <c r="E23" s="186"/>
      <c r="F23" s="186"/>
      <c r="G23" s="186"/>
      <c r="H23" s="186"/>
      <c r="I23" s="186"/>
      <c r="J23" s="186"/>
      <c r="K23" s="236"/>
      <c r="L23" t="s" s="214">
        <v>117</v>
      </c>
      <c r="M23" s="215"/>
      <c r="N23" s="236"/>
      <c r="O23" t="s" s="214">
        <v>118</v>
      </c>
      <c r="P23" s="215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  <c r="DM23" s="186"/>
      <c r="DN23" s="186"/>
      <c r="DO23" s="186"/>
      <c r="DP23" s="186"/>
      <c r="DQ23" s="186"/>
      <c r="DR23" s="186"/>
      <c r="DS23" s="186"/>
      <c r="DT23" s="186"/>
      <c r="DU23" s="186"/>
      <c r="DV23" s="186"/>
      <c r="DW23" s="186"/>
      <c r="DX23" s="186"/>
      <c r="DY23" s="186"/>
      <c r="DZ23" s="186"/>
      <c r="EA23" s="186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  <c r="EY23" s="186"/>
      <c r="EZ23" s="186"/>
      <c r="FA23" s="186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  <c r="GR23" s="186"/>
      <c r="GS23" s="186"/>
      <c r="GT23" s="186"/>
      <c r="GU23" s="186"/>
      <c r="GV23" s="186"/>
      <c r="GW23" s="186"/>
      <c r="GX23" s="186"/>
      <c r="GY23" s="186"/>
      <c r="GZ23" s="186"/>
      <c r="HA23" s="186"/>
      <c r="HB23" s="186"/>
      <c r="HC23" s="186"/>
      <c r="HD23" s="186"/>
      <c r="HE23" s="186"/>
      <c r="HF23" s="186"/>
      <c r="HG23" s="186"/>
      <c r="HH23" s="186"/>
      <c r="HI23" s="186"/>
      <c r="HJ23" s="186"/>
      <c r="HK23" s="186"/>
      <c r="HL23" s="186"/>
      <c r="HM23" s="186"/>
      <c r="HN23" s="186"/>
      <c r="HO23" s="186"/>
      <c r="HP23" s="186"/>
      <c r="HQ23" s="186"/>
      <c r="HR23" s="187"/>
    </row>
    <row r="24" ht="54.75" customHeight="1">
      <c r="A24" s="207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t="s" s="214">
        <v>119</v>
      </c>
      <c r="M24" s="215"/>
      <c r="N24" s="236"/>
      <c r="O24" s="23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  <c r="EY24" s="186"/>
      <c r="EZ24" s="186"/>
      <c r="FA24" s="186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6"/>
      <c r="FM24" s="186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/>
      <c r="GE24" s="186"/>
      <c r="GF24" s="186"/>
      <c r="GG24" s="186"/>
      <c r="GH24" s="186"/>
      <c r="GI24" s="186"/>
      <c r="GJ24" s="186"/>
      <c r="GK24" s="186"/>
      <c r="GL24" s="186"/>
      <c r="GM24" s="186"/>
      <c r="GN24" s="186"/>
      <c r="GO24" s="186"/>
      <c r="GP24" s="186"/>
      <c r="GQ24" s="186"/>
      <c r="GR24" s="186"/>
      <c r="GS24" s="186"/>
      <c r="GT24" s="186"/>
      <c r="GU24" s="186"/>
      <c r="GV24" s="186"/>
      <c r="GW24" s="186"/>
      <c r="GX24" s="186"/>
      <c r="GY24" s="186"/>
      <c r="GZ24" s="186"/>
      <c r="HA24" s="186"/>
      <c r="HB24" s="186"/>
      <c r="HC24" s="186"/>
      <c r="HD24" s="186"/>
      <c r="HE24" s="186"/>
      <c r="HF24" s="186"/>
      <c r="HG24" s="186"/>
      <c r="HH24" s="186"/>
      <c r="HI24" s="186"/>
      <c r="HJ24" s="186"/>
      <c r="HK24" s="186"/>
      <c r="HL24" s="186"/>
      <c r="HM24" s="186"/>
      <c r="HN24" s="186"/>
      <c r="HO24" s="186"/>
      <c r="HP24" s="186"/>
      <c r="HQ24" s="186"/>
      <c r="HR24" s="187"/>
    </row>
    <row r="25" ht="54.75" customHeight="1">
      <c r="A25" s="207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239"/>
      <c r="N25" s="239"/>
      <c r="O25" s="239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/>
      <c r="DT25" s="186"/>
      <c r="DU25" s="186"/>
      <c r="DV25" s="186"/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  <c r="EY25" s="186"/>
      <c r="EZ25" s="186"/>
      <c r="FA25" s="186"/>
      <c r="FB25" s="186"/>
      <c r="FC25" s="186"/>
      <c r="FD25" s="186"/>
      <c r="FE25" s="186"/>
      <c r="FF25" s="186"/>
      <c r="FG25" s="186"/>
      <c r="FH25" s="186"/>
      <c r="FI25" s="186"/>
      <c r="FJ25" s="186"/>
      <c r="FK25" s="186"/>
      <c r="FL25" s="186"/>
      <c r="FM25" s="186"/>
      <c r="FN25" s="186"/>
      <c r="FO25" s="186"/>
      <c r="FP25" s="186"/>
      <c r="FQ25" s="186"/>
      <c r="FR25" s="186"/>
      <c r="FS25" s="186"/>
      <c r="FT25" s="186"/>
      <c r="FU25" s="186"/>
      <c r="FV25" s="186"/>
      <c r="FW25" s="186"/>
      <c r="FX25" s="186"/>
      <c r="FY25" s="186"/>
      <c r="FZ25" s="186"/>
      <c r="GA25" s="186"/>
      <c r="GB25" s="186"/>
      <c r="GC25" s="186"/>
      <c r="GD25" s="186"/>
      <c r="GE25" s="186"/>
      <c r="GF25" s="186"/>
      <c r="GG25" s="186"/>
      <c r="GH25" s="186"/>
      <c r="GI25" s="186"/>
      <c r="GJ25" s="186"/>
      <c r="GK25" s="186"/>
      <c r="GL25" s="186"/>
      <c r="GM25" s="186"/>
      <c r="GN25" s="186"/>
      <c r="GO25" s="186"/>
      <c r="GP25" s="186"/>
      <c r="GQ25" s="186"/>
      <c r="GR25" s="186"/>
      <c r="GS25" s="186"/>
      <c r="GT25" s="186"/>
      <c r="GU25" s="186"/>
      <c r="GV25" s="186"/>
      <c r="GW25" s="186"/>
      <c r="GX25" s="186"/>
      <c r="GY25" s="186"/>
      <c r="GZ25" s="186"/>
      <c r="HA25" s="186"/>
      <c r="HB25" s="186"/>
      <c r="HC25" s="186"/>
      <c r="HD25" s="186"/>
      <c r="HE25" s="186"/>
      <c r="HF25" s="186"/>
      <c r="HG25" s="186"/>
      <c r="HH25" s="186"/>
      <c r="HI25" s="186"/>
      <c r="HJ25" s="186"/>
      <c r="HK25" s="186"/>
      <c r="HL25" s="186"/>
      <c r="HM25" s="186"/>
      <c r="HN25" s="186"/>
      <c r="HO25" s="186"/>
      <c r="HP25" s="186"/>
      <c r="HQ25" s="186"/>
      <c r="HR25" s="187"/>
    </row>
    <row r="26" ht="54.75" customHeight="1">
      <c r="A26" s="207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  <c r="DM26" s="186"/>
      <c r="DN26" s="186"/>
      <c r="DO26" s="186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186"/>
      <c r="FI26" s="186"/>
      <c r="FJ26" s="186"/>
      <c r="FK26" s="186"/>
      <c r="FL26" s="186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86"/>
      <c r="GA26" s="186"/>
      <c r="GB26" s="186"/>
      <c r="GC26" s="186"/>
      <c r="GD26" s="186"/>
      <c r="GE26" s="186"/>
      <c r="GF26" s="186"/>
      <c r="GG26" s="186"/>
      <c r="GH26" s="186"/>
      <c r="GI26" s="186"/>
      <c r="GJ26" s="186"/>
      <c r="GK26" s="186"/>
      <c r="GL26" s="186"/>
      <c r="GM26" s="186"/>
      <c r="GN26" s="186"/>
      <c r="GO26" s="186"/>
      <c r="GP26" s="186"/>
      <c r="GQ26" s="186"/>
      <c r="GR26" s="186"/>
      <c r="GS26" s="186"/>
      <c r="GT26" s="186"/>
      <c r="GU26" s="186"/>
      <c r="GV26" s="186"/>
      <c r="GW26" s="186"/>
      <c r="GX26" s="186"/>
      <c r="GY26" s="186"/>
      <c r="GZ26" s="186"/>
      <c r="HA26" s="186"/>
      <c r="HB26" s="186"/>
      <c r="HC26" s="186"/>
      <c r="HD26" s="186"/>
      <c r="HE26" s="186"/>
      <c r="HF26" s="186"/>
      <c r="HG26" s="186"/>
      <c r="HH26" s="186"/>
      <c r="HI26" s="186"/>
      <c r="HJ26" s="186"/>
      <c r="HK26" s="186"/>
      <c r="HL26" s="186"/>
      <c r="HM26" s="186"/>
      <c r="HN26" s="186"/>
      <c r="HO26" s="186"/>
      <c r="HP26" s="186"/>
      <c r="HQ26" s="186"/>
      <c r="HR26" s="187"/>
    </row>
    <row r="27" ht="54.75" customHeight="1">
      <c r="A27" s="240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7"/>
    </row>
    <row r="28" ht="54.75" customHeight="1">
      <c r="A28" t="s" s="241">
        <v>120</v>
      </c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3"/>
      <c r="Q28" s="244"/>
      <c r="R28" s="245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7"/>
    </row>
    <row r="29" ht="24.75" customHeight="1">
      <c r="A29" t="s" s="246">
        <v>121</v>
      </c>
      <c r="B29" s="247"/>
      <c r="C29" s="248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50"/>
      <c r="R29" s="250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7"/>
    </row>
    <row r="30" ht="21" customHeight="1">
      <c r="A30" t="s" s="251">
        <v>122</v>
      </c>
      <c r="B30" s="252"/>
      <c r="C30" s="253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0"/>
      <c r="R30" s="250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  <c r="DM30" s="186"/>
      <c r="DN30" s="186"/>
      <c r="DO30" s="186"/>
      <c r="DP30" s="186"/>
      <c r="DQ30" s="186"/>
      <c r="DR30" s="186"/>
      <c r="DS30" s="186"/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  <c r="EY30" s="186"/>
      <c r="EZ30" s="186"/>
      <c r="FA30" s="186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  <c r="GR30" s="186"/>
      <c r="GS30" s="186"/>
      <c r="GT30" s="186"/>
      <c r="GU30" s="186"/>
      <c r="GV30" s="186"/>
      <c r="GW30" s="186"/>
      <c r="GX30" s="186"/>
      <c r="GY30" s="186"/>
      <c r="GZ30" s="186"/>
      <c r="HA30" s="186"/>
      <c r="HB30" s="186"/>
      <c r="HC30" s="186"/>
      <c r="HD30" s="186"/>
      <c r="HE30" s="186"/>
      <c r="HF30" s="186"/>
      <c r="HG30" s="186"/>
      <c r="HH30" s="186"/>
      <c r="HI30" s="186"/>
      <c r="HJ30" s="186"/>
      <c r="HK30" s="186"/>
      <c r="HL30" s="186"/>
      <c r="HM30" s="186"/>
      <c r="HN30" s="186"/>
      <c r="HO30" s="186"/>
      <c r="HP30" s="186"/>
      <c r="HQ30" s="186"/>
      <c r="HR30" s="187"/>
    </row>
    <row r="31" ht="24" customHeight="1">
      <c r="A31" t="s" s="251">
        <v>123</v>
      </c>
      <c r="B31" s="252"/>
      <c r="C31" s="253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0"/>
      <c r="R31" s="250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  <c r="DM31" s="186"/>
      <c r="DN31" s="186"/>
      <c r="DO31" s="186"/>
      <c r="DP31" s="186"/>
      <c r="DQ31" s="186"/>
      <c r="DR31" s="186"/>
      <c r="DS31" s="186"/>
      <c r="DT31" s="186"/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  <c r="EY31" s="186"/>
      <c r="EZ31" s="186"/>
      <c r="FA31" s="186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  <c r="GR31" s="186"/>
      <c r="GS31" s="186"/>
      <c r="GT31" s="186"/>
      <c r="GU31" s="186"/>
      <c r="GV31" s="186"/>
      <c r="GW31" s="186"/>
      <c r="GX31" s="186"/>
      <c r="GY31" s="186"/>
      <c r="GZ31" s="186"/>
      <c r="HA31" s="186"/>
      <c r="HB31" s="186"/>
      <c r="HC31" s="186"/>
      <c r="HD31" s="186"/>
      <c r="HE31" s="186"/>
      <c r="HF31" s="186"/>
      <c r="HG31" s="186"/>
      <c r="HH31" s="186"/>
      <c r="HI31" s="186"/>
      <c r="HJ31" s="186"/>
      <c r="HK31" s="186"/>
      <c r="HL31" s="186"/>
      <c r="HM31" s="186"/>
      <c r="HN31" s="186"/>
      <c r="HO31" s="186"/>
      <c r="HP31" s="186"/>
      <c r="HQ31" s="186"/>
      <c r="HR31" s="187"/>
    </row>
    <row r="32" ht="22.5" customHeight="1">
      <c r="A32" t="s" s="251">
        <v>124</v>
      </c>
      <c r="B32" s="252"/>
      <c r="C32" s="253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0"/>
      <c r="R32" s="250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  <c r="DM32" s="186"/>
      <c r="DN32" s="186"/>
      <c r="DO32" s="186"/>
      <c r="DP32" s="186"/>
      <c r="DQ32" s="186"/>
      <c r="DR32" s="186"/>
      <c r="DS32" s="186"/>
      <c r="DT32" s="186"/>
      <c r="DU32" s="186"/>
      <c r="DV32" s="186"/>
      <c r="DW32" s="186"/>
      <c r="DX32" s="186"/>
      <c r="DY32" s="186"/>
      <c r="DZ32" s="186"/>
      <c r="EA32" s="186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6"/>
      <c r="EO32" s="186"/>
      <c r="EP32" s="186"/>
      <c r="EQ32" s="186"/>
      <c r="ER32" s="186"/>
      <c r="ES32" s="186"/>
      <c r="ET32" s="186"/>
      <c r="EU32" s="186"/>
      <c r="EV32" s="186"/>
      <c r="EW32" s="186"/>
      <c r="EX32" s="186"/>
      <c r="EY32" s="186"/>
      <c r="EZ32" s="186"/>
      <c r="FA32" s="186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  <c r="GR32" s="186"/>
      <c r="GS32" s="186"/>
      <c r="GT32" s="186"/>
      <c r="GU32" s="186"/>
      <c r="GV32" s="186"/>
      <c r="GW32" s="186"/>
      <c r="GX32" s="186"/>
      <c r="GY32" s="186"/>
      <c r="GZ32" s="186"/>
      <c r="HA32" s="186"/>
      <c r="HB32" s="186"/>
      <c r="HC32" s="186"/>
      <c r="HD32" s="186"/>
      <c r="HE32" s="186"/>
      <c r="HF32" s="186"/>
      <c r="HG32" s="186"/>
      <c r="HH32" s="186"/>
      <c r="HI32" s="186"/>
      <c r="HJ32" s="186"/>
      <c r="HK32" s="186"/>
      <c r="HL32" s="186"/>
      <c r="HM32" s="186"/>
      <c r="HN32" s="186"/>
      <c r="HO32" s="186"/>
      <c r="HP32" s="186"/>
      <c r="HQ32" s="186"/>
      <c r="HR32" s="187"/>
    </row>
    <row r="33" ht="21" customHeight="1">
      <c r="A33" t="s" s="255">
        <v>125</v>
      </c>
      <c r="B33" s="256"/>
      <c r="C33" s="257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0"/>
      <c r="R33" s="250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  <c r="DM33" s="186"/>
      <c r="DN33" s="186"/>
      <c r="DO33" s="186"/>
      <c r="DP33" s="186"/>
      <c r="DQ33" s="186"/>
      <c r="DR33" s="186"/>
      <c r="DS33" s="186"/>
      <c r="DT33" s="186"/>
      <c r="DU33" s="186"/>
      <c r="DV33" s="186"/>
      <c r="DW33" s="186"/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  <c r="EY33" s="186"/>
      <c r="EZ33" s="186"/>
      <c r="FA33" s="186"/>
      <c r="FB33" s="186"/>
      <c r="FC33" s="186"/>
      <c r="FD33" s="186"/>
      <c r="FE33" s="186"/>
      <c r="FF33" s="186"/>
      <c r="FG33" s="186"/>
      <c r="FH33" s="186"/>
      <c r="FI33" s="186"/>
      <c r="FJ33" s="186"/>
      <c r="FK33" s="186"/>
      <c r="FL33" s="186"/>
      <c r="FM33" s="186"/>
      <c r="FN33" s="186"/>
      <c r="FO33" s="186"/>
      <c r="FP33" s="186"/>
      <c r="FQ33" s="186"/>
      <c r="FR33" s="186"/>
      <c r="FS33" s="186"/>
      <c r="FT33" s="186"/>
      <c r="FU33" s="186"/>
      <c r="FV33" s="186"/>
      <c r="FW33" s="186"/>
      <c r="FX33" s="186"/>
      <c r="FY33" s="186"/>
      <c r="FZ33" s="186"/>
      <c r="GA33" s="186"/>
      <c r="GB33" s="186"/>
      <c r="GC33" s="186"/>
      <c r="GD33" s="186"/>
      <c r="GE33" s="186"/>
      <c r="GF33" s="186"/>
      <c r="GG33" s="186"/>
      <c r="GH33" s="186"/>
      <c r="GI33" s="186"/>
      <c r="GJ33" s="186"/>
      <c r="GK33" s="186"/>
      <c r="GL33" s="186"/>
      <c r="GM33" s="186"/>
      <c r="GN33" s="186"/>
      <c r="GO33" s="186"/>
      <c r="GP33" s="186"/>
      <c r="GQ33" s="186"/>
      <c r="GR33" s="186"/>
      <c r="GS33" s="186"/>
      <c r="GT33" s="186"/>
      <c r="GU33" s="186"/>
      <c r="GV33" s="186"/>
      <c r="GW33" s="186"/>
      <c r="GX33" s="186"/>
      <c r="GY33" s="186"/>
      <c r="GZ33" s="186"/>
      <c r="HA33" s="186"/>
      <c r="HB33" s="186"/>
      <c r="HC33" s="186"/>
      <c r="HD33" s="186"/>
      <c r="HE33" s="186"/>
      <c r="HF33" s="186"/>
      <c r="HG33" s="186"/>
      <c r="HH33" s="186"/>
      <c r="HI33" s="186"/>
      <c r="HJ33" s="186"/>
      <c r="HK33" s="186"/>
      <c r="HL33" s="186"/>
      <c r="HM33" s="186"/>
      <c r="HN33" s="186"/>
      <c r="HO33" s="186"/>
      <c r="HP33" s="186"/>
      <c r="HQ33" s="186"/>
      <c r="HR33" s="187"/>
    </row>
    <row r="34" ht="54.75" customHeight="1">
      <c r="A34" t="s" s="241">
        <v>126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3"/>
      <c r="Q34" s="244"/>
      <c r="R34" s="245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  <c r="DM34" s="186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/>
      <c r="EV34" s="186"/>
      <c r="EW34" s="186"/>
      <c r="EX34" s="186"/>
      <c r="EY34" s="186"/>
      <c r="EZ34" s="186"/>
      <c r="FA34" s="186"/>
      <c r="FB34" s="186"/>
      <c r="FC34" s="186"/>
      <c r="FD34" s="186"/>
      <c r="FE34" s="186"/>
      <c r="FF34" s="186"/>
      <c r="FG34" s="186"/>
      <c r="FH34" s="186"/>
      <c r="FI34" s="186"/>
      <c r="FJ34" s="186"/>
      <c r="FK34" s="186"/>
      <c r="FL34" s="186"/>
      <c r="FM34" s="186"/>
      <c r="FN34" s="186"/>
      <c r="FO34" s="186"/>
      <c r="FP34" s="186"/>
      <c r="FQ34" s="186"/>
      <c r="FR34" s="186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7"/>
    </row>
    <row r="35" ht="54.75" customHeight="1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1"/>
      <c r="Q35" s="262"/>
      <c r="R35" s="263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  <c r="DM35" s="186"/>
      <c r="DN35" s="186"/>
      <c r="DO35" s="186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/>
      <c r="EW35" s="186"/>
      <c r="EX35" s="186"/>
      <c r="EY35" s="186"/>
      <c r="EZ35" s="186"/>
      <c r="FA35" s="186"/>
      <c r="FB35" s="186"/>
      <c r="FC35" s="186"/>
      <c r="FD35" s="186"/>
      <c r="FE35" s="186"/>
      <c r="FF35" s="186"/>
      <c r="FG35" s="186"/>
      <c r="FH35" s="186"/>
      <c r="FI35" s="186"/>
      <c r="FJ35" s="186"/>
      <c r="FK35" s="186"/>
      <c r="FL35" s="186"/>
      <c r="FM35" s="186"/>
      <c r="FN35" s="186"/>
      <c r="FO35" s="186"/>
      <c r="FP35" s="186"/>
      <c r="FQ35" s="186"/>
      <c r="FR35" s="186"/>
      <c r="FS35" s="186"/>
      <c r="FT35" s="186"/>
      <c r="FU35" s="186"/>
      <c r="FV35" s="186"/>
      <c r="FW35" s="186"/>
      <c r="FX35" s="186"/>
      <c r="FY35" s="186"/>
      <c r="FZ35" s="186"/>
      <c r="GA35" s="186"/>
      <c r="GB35" s="186"/>
      <c r="GC35" s="186"/>
      <c r="GD35" s="186"/>
      <c r="GE35" s="186"/>
      <c r="GF35" s="186"/>
      <c r="GG35" s="186"/>
      <c r="GH35" s="186"/>
      <c r="GI35" s="186"/>
      <c r="GJ35" s="186"/>
      <c r="GK35" s="186"/>
      <c r="GL35" s="186"/>
      <c r="GM35" s="186"/>
      <c r="GN35" s="186"/>
      <c r="GO35" s="186"/>
      <c r="GP35" s="186"/>
      <c r="GQ35" s="186"/>
      <c r="GR35" s="186"/>
      <c r="GS35" s="186"/>
      <c r="GT35" s="186"/>
      <c r="GU35" s="186"/>
      <c r="GV35" s="186"/>
      <c r="GW35" s="186"/>
      <c r="GX35" s="186"/>
      <c r="GY35" s="186"/>
      <c r="GZ35" s="186"/>
      <c r="HA35" s="186"/>
      <c r="HB35" s="186"/>
      <c r="HC35" s="186"/>
      <c r="HD35" s="186"/>
      <c r="HE35" s="186"/>
      <c r="HF35" s="186"/>
      <c r="HG35" s="186"/>
      <c r="HH35" s="186"/>
      <c r="HI35" s="186"/>
      <c r="HJ35" s="186"/>
      <c r="HK35" s="186"/>
      <c r="HL35" s="186"/>
      <c r="HM35" s="186"/>
      <c r="HN35" s="186"/>
      <c r="HO35" s="186"/>
      <c r="HP35" s="186"/>
      <c r="HQ35" s="186"/>
      <c r="HR35" s="187"/>
    </row>
    <row r="36" ht="54.75" customHeight="1">
      <c r="A36" s="264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6"/>
      <c r="Q36" s="273"/>
      <c r="R36" s="274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268"/>
      <c r="CO36" s="268"/>
      <c r="CP36" s="268"/>
      <c r="CQ36" s="268"/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  <c r="DM36" s="268"/>
      <c r="DN36" s="268"/>
      <c r="DO36" s="268"/>
      <c r="DP36" s="268"/>
      <c r="DQ36" s="268"/>
      <c r="DR36" s="268"/>
      <c r="DS36" s="268"/>
      <c r="DT36" s="268"/>
      <c r="DU36" s="268"/>
      <c r="DV36" s="268"/>
      <c r="DW36" s="268"/>
      <c r="DX36" s="268"/>
      <c r="DY36" s="268"/>
      <c r="DZ36" s="268"/>
      <c r="EA36" s="268"/>
      <c r="EB36" s="268"/>
      <c r="EC36" s="268"/>
      <c r="ED36" s="268"/>
      <c r="EE36" s="268"/>
      <c r="EF36" s="268"/>
      <c r="EG36" s="268"/>
      <c r="EH36" s="268"/>
      <c r="EI36" s="268"/>
      <c r="EJ36" s="268"/>
      <c r="EK36" s="268"/>
      <c r="EL36" s="268"/>
      <c r="EM36" s="268"/>
      <c r="EN36" s="268"/>
      <c r="EO36" s="268"/>
      <c r="EP36" s="268"/>
      <c r="EQ36" s="268"/>
      <c r="ER36" s="268"/>
      <c r="ES36" s="268"/>
      <c r="ET36" s="268"/>
      <c r="EU36" s="268"/>
      <c r="EV36" s="268"/>
      <c r="EW36" s="268"/>
      <c r="EX36" s="268"/>
      <c r="EY36" s="268"/>
      <c r="EZ36" s="268"/>
      <c r="FA36" s="268"/>
      <c r="FB36" s="268"/>
      <c r="FC36" s="268"/>
      <c r="FD36" s="268"/>
      <c r="FE36" s="268"/>
      <c r="FF36" s="268"/>
      <c r="FG36" s="268"/>
      <c r="FH36" s="268"/>
      <c r="FI36" s="268"/>
      <c r="FJ36" s="268"/>
      <c r="FK36" s="268"/>
      <c r="FL36" s="268"/>
      <c r="FM36" s="268"/>
      <c r="FN36" s="268"/>
      <c r="FO36" s="268"/>
      <c r="FP36" s="268"/>
      <c r="FQ36" s="268"/>
      <c r="FR36" s="268"/>
      <c r="FS36" s="268"/>
      <c r="FT36" s="268"/>
      <c r="FU36" s="268"/>
      <c r="FV36" s="268"/>
      <c r="FW36" s="268"/>
      <c r="FX36" s="268"/>
      <c r="FY36" s="268"/>
      <c r="FZ36" s="268"/>
      <c r="GA36" s="268"/>
      <c r="GB36" s="268"/>
      <c r="GC36" s="268"/>
      <c r="GD36" s="268"/>
      <c r="GE36" s="268"/>
      <c r="GF36" s="268"/>
      <c r="GG36" s="268"/>
      <c r="GH36" s="268"/>
      <c r="GI36" s="268"/>
      <c r="GJ36" s="268"/>
      <c r="GK36" s="268"/>
      <c r="GL36" s="268"/>
      <c r="GM36" s="268"/>
      <c r="GN36" s="268"/>
      <c r="GO36" s="268"/>
      <c r="GP36" s="268"/>
      <c r="GQ36" s="268"/>
      <c r="GR36" s="268"/>
      <c r="GS36" s="268"/>
      <c r="GT36" s="268"/>
      <c r="GU36" s="268"/>
      <c r="GV36" s="268"/>
      <c r="GW36" s="268"/>
      <c r="GX36" s="268"/>
      <c r="GY36" s="268"/>
      <c r="GZ36" s="268"/>
      <c r="HA36" s="268"/>
      <c r="HB36" s="268"/>
      <c r="HC36" s="268"/>
      <c r="HD36" s="268"/>
      <c r="HE36" s="268"/>
      <c r="HF36" s="268"/>
      <c r="HG36" s="268"/>
      <c r="HH36" s="268"/>
      <c r="HI36" s="268"/>
      <c r="HJ36" s="268"/>
      <c r="HK36" s="268"/>
      <c r="HL36" s="268"/>
      <c r="HM36" s="268"/>
      <c r="HN36" s="268"/>
      <c r="HO36" s="268"/>
      <c r="HP36" s="268"/>
      <c r="HQ36" s="268"/>
      <c r="HR36" s="269"/>
    </row>
  </sheetData>
  <mergeCells count="53">
    <mergeCell ref="A34:P34"/>
    <mergeCell ref="A35:P36"/>
    <mergeCell ref="C1:G1"/>
    <mergeCell ref="N1:P1"/>
    <mergeCell ref="A2:P2"/>
    <mergeCell ref="I4:P4"/>
    <mergeCell ref="B7:F7"/>
    <mergeCell ref="I7:P7"/>
    <mergeCell ref="B9:E9"/>
    <mergeCell ref="I9:O9"/>
    <mergeCell ref="B10:E10"/>
    <mergeCell ref="I10:O10"/>
    <mergeCell ref="B11:E11"/>
    <mergeCell ref="I11:O11"/>
    <mergeCell ref="I12:O12"/>
    <mergeCell ref="B14:F14"/>
    <mergeCell ref="I14:P14"/>
    <mergeCell ref="B16:E16"/>
    <mergeCell ref="I16:J16"/>
    <mergeCell ref="L16:M16"/>
    <mergeCell ref="O16:P16"/>
    <mergeCell ref="B17:E17"/>
    <mergeCell ref="I17:J17"/>
    <mergeCell ref="L17:M17"/>
    <mergeCell ref="O17:P17"/>
    <mergeCell ref="B18:E18"/>
    <mergeCell ref="I18:J18"/>
    <mergeCell ref="L18:M18"/>
    <mergeCell ref="O18:P18"/>
    <mergeCell ref="B19:E19"/>
    <mergeCell ref="I19:J19"/>
    <mergeCell ref="L19:M19"/>
    <mergeCell ref="O19:P19"/>
    <mergeCell ref="B20:E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L23:M23"/>
    <mergeCell ref="O23:P23"/>
    <mergeCell ref="L24:M24"/>
    <mergeCell ref="A28:P28"/>
    <mergeCell ref="A29:B29"/>
    <mergeCell ref="C29:P33"/>
    <mergeCell ref="A30:B30"/>
    <mergeCell ref="A31:B31"/>
    <mergeCell ref="A32:B32"/>
    <mergeCell ref="A33:B33"/>
  </mergeCells>
  <pageMargins left="0.7" right="0.7" top="0.75" bottom="0.75" header="0.3" footer="0.3"/>
  <pageSetup firstPageNumber="1" fitToHeight="1" fitToWidth="1" scale="42" useFirstPageNumber="0" orientation="portrait" pageOrder="downThenOver"/>
  <headerFooter>
    <oddFooter>&amp;C&amp;"Helvetica Neue,Regular"&amp;12&amp;K000000&amp;P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48"/>
  <sheetViews>
    <sheetView workbookViewId="0" showGridLines="0" defaultGridColor="1"/>
  </sheetViews>
  <sheetFormatPr defaultColWidth="14.3333" defaultRowHeight="21.75" customHeight="1" outlineLevelRow="0" outlineLevelCol="0"/>
  <cols>
    <col min="1" max="3" width="14.3516" style="281" customWidth="1"/>
    <col min="4" max="4" width="15" style="281" customWidth="1"/>
    <col min="5" max="5" width="15.8516" style="281" customWidth="1"/>
    <col min="6" max="8" width="14.3516" style="281" customWidth="1"/>
    <col min="9" max="9" width="11.3516" style="281" customWidth="1"/>
    <col min="10" max="10" width="17.6719" style="281" customWidth="1"/>
    <col min="11" max="13" width="14.3516" style="281" customWidth="1"/>
    <col min="14" max="14" width="16.5" style="281" customWidth="1"/>
    <col min="15" max="15" width="16.6719" style="281" customWidth="1"/>
    <col min="16" max="19" width="14.3516" style="281" customWidth="1"/>
    <col min="20" max="16384" width="14.3516" style="281" customWidth="1"/>
  </cols>
  <sheetData>
    <row r="1" ht="98.25" customHeight="1">
      <c r="A1" s="2"/>
      <c r="B1" s="3"/>
      <c r="C1" t="s" s="4">
        <v>0</v>
      </c>
      <c r="D1" s="5"/>
      <c r="E1" s="5"/>
      <c r="F1" s="3"/>
      <c r="G1" s="5"/>
      <c r="H1" t="s" s="4">
        <v>1</v>
      </c>
      <c r="I1" s="3"/>
      <c r="J1" s="3"/>
      <c r="K1" t="s" s="4">
        <v>2</v>
      </c>
      <c r="L1" s="3"/>
      <c r="M1" t="s" s="4">
        <v>3</v>
      </c>
      <c r="N1" s="3"/>
      <c r="O1" t="s" s="6">
        <v>4</v>
      </c>
      <c r="P1" s="7"/>
      <c r="Q1" s="8"/>
      <c r="R1" s="8"/>
      <c r="S1" s="9"/>
    </row>
    <row r="2" ht="51.75" customHeight="1">
      <c r="A2" t="s" s="10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3"/>
      <c r="R2" s="14"/>
      <c r="S2" s="15"/>
    </row>
    <row r="3" ht="22.5" customHeight="1">
      <c r="A3" s="16"/>
      <c r="B3" s="17"/>
      <c r="C3" s="17"/>
      <c r="D3" s="17"/>
      <c r="E3" s="18"/>
      <c r="F3" s="18"/>
      <c r="G3" s="17"/>
      <c r="H3" s="17"/>
      <c r="I3" s="17"/>
      <c r="J3" s="17"/>
      <c r="K3" s="18"/>
      <c r="L3" s="17"/>
      <c r="M3" s="17"/>
      <c r="N3" s="17"/>
      <c r="O3" s="17"/>
      <c r="P3" s="18"/>
      <c r="Q3" s="14"/>
      <c r="R3" s="14"/>
      <c r="S3" s="15"/>
    </row>
    <row r="4" ht="45.95" customHeight="1">
      <c r="A4" s="19"/>
      <c r="B4" t="s" s="20">
        <v>6</v>
      </c>
      <c r="C4" s="21"/>
      <c r="D4" s="22"/>
      <c r="E4" s="23"/>
      <c r="F4" s="24"/>
      <c r="G4" t="s" s="25">
        <v>7</v>
      </c>
      <c r="H4" s="26"/>
      <c r="I4" s="26"/>
      <c r="J4" s="27"/>
      <c r="K4" s="28"/>
      <c r="L4" t="s" s="20">
        <v>8</v>
      </c>
      <c r="M4" s="21"/>
      <c r="N4" s="21"/>
      <c r="O4" t="s" s="29">
        <v>9</v>
      </c>
      <c r="P4" s="23"/>
      <c r="Q4" s="14"/>
      <c r="R4" s="14"/>
      <c r="S4" s="15"/>
    </row>
    <row r="5" ht="45.95" customHeight="1">
      <c r="A5" s="19"/>
      <c r="B5" t="s" s="30">
        <v>10</v>
      </c>
      <c r="C5" s="31"/>
      <c r="D5" s="32"/>
      <c r="E5" s="23"/>
      <c r="F5" s="24"/>
      <c r="G5" t="s" s="33">
        <v>11</v>
      </c>
      <c r="H5" s="34"/>
      <c r="I5" s="35"/>
      <c r="J5" s="32"/>
      <c r="K5" s="28"/>
      <c r="L5" t="s" s="30">
        <v>12</v>
      </c>
      <c r="M5" s="31"/>
      <c r="N5" s="36">
        <v>0.15</v>
      </c>
      <c r="O5" s="37" cm="1">
        <f t="array" ref="O5">IF(D7/8100&lt;1,1,D7/8100)</f>
        <v>1</v>
      </c>
      <c r="P5" s="23"/>
      <c r="Q5" s="14"/>
      <c r="R5" s="14"/>
      <c r="S5" s="15"/>
    </row>
    <row r="6" ht="45.95" customHeight="1">
      <c r="A6" s="19"/>
      <c r="B6" t="s" s="30">
        <v>13</v>
      </c>
      <c r="C6" s="31"/>
      <c r="D6" s="38" cm="1">
        <f t="array" ref="D6">D5*0.85</f>
        <v>0</v>
      </c>
      <c r="E6" s="23"/>
      <c r="F6" s="24"/>
      <c r="G6" t="s" s="39">
        <v>14</v>
      </c>
      <c r="H6" s="40"/>
      <c r="I6" s="41"/>
      <c r="J6" s="42"/>
      <c r="K6" s="28"/>
      <c r="L6" t="s" s="43">
        <v>15</v>
      </c>
      <c r="M6" s="44"/>
      <c r="N6" s="36">
        <v>0.05</v>
      </c>
      <c r="O6" s="37" cm="1">
        <f t="array" ref="O6">IF(D8*N6&lt;1,1,D8*N6)</f>
      </c>
      <c r="P6" s="23"/>
      <c r="Q6" s="14"/>
      <c r="R6" s="14"/>
      <c r="S6" s="15"/>
    </row>
    <row r="7" ht="45.95" customHeight="1">
      <c r="A7" s="19"/>
      <c r="B7" t="s" s="43">
        <v>12</v>
      </c>
      <c r="C7" s="44"/>
      <c r="D7" s="38" cm="1">
        <f t="array" ref="D7">D5*0.15</f>
        <v>0</v>
      </c>
      <c r="E7" s="23"/>
      <c r="F7" s="24"/>
      <c r="G7" t="s" s="39">
        <v>16</v>
      </c>
      <c r="H7" s="40"/>
      <c r="I7" s="41"/>
      <c r="J7" s="45" cm="1">
        <f t="array" ref="J7">J5*J6</f>
        <v>0</v>
      </c>
      <c r="K7" s="28"/>
      <c r="L7" t="s" s="46">
        <v>17</v>
      </c>
      <c r="M7" s="47"/>
      <c r="N7" s="48">
        <v>0.3</v>
      </c>
      <c r="O7" s="49" cm="1">
        <f t="array" ref="O7">IF(D8*N7&lt;1,1,D8*N7)</f>
      </c>
      <c r="P7" s="23"/>
      <c r="Q7" s="14"/>
      <c r="R7" s="14"/>
      <c r="S7" s="15"/>
    </row>
    <row r="8" ht="45.95" customHeight="1">
      <c r="A8" s="19"/>
      <c r="B8" t="s" s="46">
        <v>18</v>
      </c>
      <c r="C8" s="47"/>
      <c r="D8" s="49" cm="1">
        <f t="array" ref="D8">D5/N14</f>
      </c>
      <c r="E8" s="23"/>
      <c r="F8" s="24"/>
      <c r="G8" t="s" s="50">
        <v>19</v>
      </c>
      <c r="H8" s="51"/>
      <c r="I8" s="52"/>
      <c r="J8" s="49" cm="1">
        <f t="array" ref="J8">D5*1.1</f>
        <v>0</v>
      </c>
      <c r="K8" s="23"/>
      <c r="L8" t="s" s="53">
        <v>20</v>
      </c>
      <c r="M8" s="54"/>
      <c r="N8" s="54"/>
      <c r="O8" s="54"/>
      <c r="P8" s="14"/>
      <c r="Q8" s="14"/>
      <c r="R8" s="14"/>
      <c r="S8" s="15"/>
    </row>
    <row r="9" ht="45.95" customHeight="1">
      <c r="A9" s="55"/>
      <c r="B9" s="56"/>
      <c r="C9" s="56"/>
      <c r="D9" s="56"/>
      <c r="E9" s="14"/>
      <c r="F9" s="14"/>
      <c r="G9" t="s" s="53">
        <v>21</v>
      </c>
      <c r="H9" s="54"/>
      <c r="I9" s="54"/>
      <c r="J9" s="54"/>
      <c r="K9" s="14"/>
      <c r="L9" s="57"/>
      <c r="M9" s="14"/>
      <c r="N9" s="14"/>
      <c r="O9" s="14"/>
      <c r="P9" s="14"/>
      <c r="Q9" s="14"/>
      <c r="R9" s="14"/>
      <c r="S9" s="15"/>
    </row>
    <row r="10" ht="45.95" customHeight="1">
      <c r="A10" s="55"/>
      <c r="B10" s="58"/>
      <c r="C10" s="58"/>
      <c r="D10" s="58"/>
      <c r="E10" s="58"/>
      <c r="F10" s="14"/>
      <c r="G10" s="58"/>
      <c r="H10" s="58"/>
      <c r="I10" s="58"/>
      <c r="J10" s="58"/>
      <c r="K10" s="14"/>
      <c r="L10" t="s" s="59">
        <v>22</v>
      </c>
      <c r="M10" s="60"/>
      <c r="N10" t="s" s="59">
        <v>23</v>
      </c>
      <c r="O10" s="60"/>
      <c r="P10" s="14"/>
      <c r="Q10" s="14"/>
      <c r="R10" s="14"/>
      <c r="S10" s="15"/>
    </row>
    <row r="11" ht="45.95" customHeight="1">
      <c r="A11" s="19"/>
      <c r="B11" t="s" s="25">
        <v>24</v>
      </c>
      <c r="C11" s="26"/>
      <c r="D11" s="26"/>
      <c r="E11" s="27"/>
      <c r="F11" s="28"/>
      <c r="G11" t="s" s="61">
        <v>25</v>
      </c>
      <c r="H11" s="62"/>
      <c r="I11" s="62"/>
      <c r="J11" s="63"/>
      <c r="K11" s="28"/>
      <c r="L11" t="s" s="64">
        <v>26</v>
      </c>
      <c r="M11" s="65"/>
      <c r="N11" t="s" s="64">
        <v>26</v>
      </c>
      <c r="O11" s="65"/>
      <c r="P11" s="23"/>
      <c r="Q11" s="14"/>
      <c r="R11" s="14"/>
      <c r="S11" s="15"/>
    </row>
    <row r="12" ht="45.95" customHeight="1">
      <c r="A12" s="19"/>
      <c r="B12" t="s" s="33">
        <v>27</v>
      </c>
      <c r="C12" s="35"/>
      <c r="D12" s="66" cm="1">
        <f t="array" ref="D12">D5/D31</f>
      </c>
      <c r="E12" s="67"/>
      <c r="F12" s="28"/>
      <c r="G12" t="s" s="68">
        <v>28</v>
      </c>
      <c r="H12" s="69"/>
      <c r="I12" s="70"/>
      <c r="J12" s="71"/>
      <c r="K12" s="28"/>
      <c r="L12" s="72"/>
      <c r="M12" s="73"/>
      <c r="N12" s="72"/>
      <c r="O12" s="73"/>
      <c r="P12" s="23"/>
      <c r="Q12" s="14"/>
      <c r="R12" s="14"/>
      <c r="S12" s="15"/>
    </row>
    <row r="13" ht="45.95" customHeight="1">
      <c r="A13" s="19"/>
      <c r="B13" t="s" s="50">
        <v>9</v>
      </c>
      <c r="C13" s="52"/>
      <c r="D13" s="74" cm="1">
        <f t="array" ref="D13">D8/D31</f>
      </c>
      <c r="E13" s="75"/>
      <c r="F13" s="23"/>
      <c r="G13" s="56"/>
      <c r="H13" s="56"/>
      <c r="I13" s="76"/>
      <c r="J13" s="76"/>
      <c r="K13" s="24"/>
      <c r="L13" t="s" s="64">
        <v>29</v>
      </c>
      <c r="M13" s="65"/>
      <c r="N13" t="s" s="64">
        <v>29</v>
      </c>
      <c r="O13" s="65"/>
      <c r="P13" s="23"/>
      <c r="Q13" s="14"/>
      <c r="R13" s="14"/>
      <c r="S13" s="15"/>
    </row>
    <row r="14" ht="45.95" customHeight="1">
      <c r="A14" s="55"/>
      <c r="B14" s="56"/>
      <c r="C14" s="56"/>
      <c r="D14" s="56"/>
      <c r="E14" s="56"/>
      <c r="F14" s="14"/>
      <c r="G14" s="14"/>
      <c r="H14" s="14"/>
      <c r="I14" s="77"/>
      <c r="J14" s="77"/>
      <c r="K14" s="24"/>
      <c r="L14" s="72"/>
      <c r="M14" s="73"/>
      <c r="N14" s="72"/>
      <c r="O14" s="73"/>
      <c r="P14" s="23"/>
      <c r="Q14" s="14"/>
      <c r="R14" s="14"/>
      <c r="S14" s="15"/>
    </row>
    <row r="15" ht="45.95" customHeight="1">
      <c r="A15" s="55"/>
      <c r="B15" s="14"/>
      <c r="C15" s="58"/>
      <c r="D15" s="58"/>
      <c r="E15" s="58"/>
      <c r="F15" s="58"/>
      <c r="G15" s="58"/>
      <c r="H15" s="58"/>
      <c r="I15" s="14"/>
      <c r="J15" s="14"/>
      <c r="K15" s="14"/>
      <c r="L15" s="56"/>
      <c r="M15" s="56"/>
      <c r="N15" s="56"/>
      <c r="O15" s="56"/>
      <c r="P15" s="14"/>
      <c r="Q15" s="14"/>
      <c r="R15" s="14"/>
      <c r="S15" s="15"/>
    </row>
    <row r="16" ht="55.5" customHeight="1">
      <c r="A16" s="55"/>
      <c r="B16" s="78"/>
      <c r="C16" t="s" s="79">
        <v>30</v>
      </c>
      <c r="D16" t="s" s="80">
        <v>31</v>
      </c>
      <c r="E16" t="s" s="80">
        <v>32</v>
      </c>
      <c r="F16" t="s" s="80">
        <v>33</v>
      </c>
      <c r="G16" t="s" s="80">
        <v>34</v>
      </c>
      <c r="H16" t="s" s="81">
        <v>35</v>
      </c>
      <c r="I16" s="82"/>
      <c r="J16" s="77"/>
      <c r="K16" s="14"/>
      <c r="L16" s="14"/>
      <c r="M16" s="14"/>
      <c r="N16" s="14"/>
      <c r="O16" s="14"/>
      <c r="P16" s="14"/>
      <c r="Q16" s="14"/>
      <c r="R16" s="14"/>
      <c r="S16" s="15"/>
    </row>
    <row r="17" ht="45.95" customHeight="1">
      <c r="A17" s="19"/>
      <c r="B17" t="s" s="83">
        <v>36</v>
      </c>
      <c r="C17" s="84"/>
      <c r="D17" s="85"/>
      <c r="E17" s="85"/>
      <c r="F17" s="85"/>
      <c r="G17" s="86"/>
      <c r="H17" s="87" cm="1">
        <f t="array" ref="H17">SUM(C17:G17)</f>
        <v>0</v>
      </c>
      <c r="I17" s="82"/>
      <c r="J17" s="77"/>
      <c r="K17" s="77"/>
      <c r="L17" s="77"/>
      <c r="M17" s="77"/>
      <c r="N17" s="77"/>
      <c r="O17" s="77"/>
      <c r="P17" s="14"/>
      <c r="Q17" s="14"/>
      <c r="R17" s="14"/>
      <c r="S17" s="15"/>
    </row>
    <row r="18" ht="45.95" customHeight="1">
      <c r="A18" s="19"/>
      <c r="B18" t="s" s="88">
        <v>37</v>
      </c>
      <c r="C18" s="89" cm="1">
        <f t="array" ref="C18">C17/$H$17</f>
      </c>
      <c r="D18" s="36" cm="1">
        <f t="array" ref="D18">D17/$H$17</f>
      </c>
      <c r="E18" s="36" cm="1">
        <f t="array" ref="E18">E17/$H$17</f>
      </c>
      <c r="F18" s="36" cm="1">
        <f t="array" ref="F18">F17/$H$17</f>
      </c>
      <c r="G18" s="36" cm="1">
        <f t="array" ref="G18">G17/$H$17</f>
      </c>
      <c r="H18" s="90" cm="1">
        <f t="array" ref="H18">H17/$H$17</f>
      </c>
      <c r="I18" s="82"/>
      <c r="J18" s="77"/>
      <c r="K18" s="77"/>
      <c r="L18" s="77"/>
      <c r="M18" s="77"/>
      <c r="N18" s="77"/>
      <c r="O18" s="77"/>
      <c r="P18" s="14"/>
      <c r="Q18" s="14"/>
      <c r="R18" s="14"/>
      <c r="S18" s="15"/>
    </row>
    <row r="19" ht="45.95" customHeight="1">
      <c r="A19" s="19"/>
      <c r="B19" t="s" s="91">
        <v>38</v>
      </c>
      <c r="C19" s="92" cm="1">
        <f t="array" ref="C19">C18*$D$5</f>
      </c>
      <c r="D19" s="93" cm="1">
        <f t="array" ref="D19">D18*$D$5</f>
      </c>
      <c r="E19" s="93" cm="1">
        <f t="array" ref="E19">E18*$D$5</f>
      </c>
      <c r="F19" s="93" cm="1">
        <f t="array" ref="F19">F18*$D$5</f>
      </c>
      <c r="G19" s="93" cm="1">
        <f t="array" ref="G19">G18*$D$5</f>
      </c>
      <c r="H19" s="49" cm="1">
        <f t="array" ref="H19">SUM(C19:G19)</f>
      </c>
      <c r="I19" s="82"/>
      <c r="J19" s="77"/>
      <c r="K19" s="77"/>
      <c r="L19" s="77"/>
      <c r="M19" s="77"/>
      <c r="N19" s="77"/>
      <c r="O19" s="77"/>
      <c r="P19" s="14"/>
      <c r="Q19" s="14"/>
      <c r="R19" s="14"/>
      <c r="S19" s="15"/>
    </row>
    <row r="20" ht="45.95" customHeight="1">
      <c r="A20" s="55"/>
      <c r="B20" s="56"/>
      <c r="C20" s="56"/>
      <c r="D20" s="56"/>
      <c r="E20" s="94"/>
      <c r="F20" s="94"/>
      <c r="G20" s="56"/>
      <c r="H20" s="56"/>
      <c r="I20" s="77"/>
      <c r="J20" s="77"/>
      <c r="K20" s="14"/>
      <c r="L20" s="14"/>
      <c r="M20" s="14"/>
      <c r="N20" s="14"/>
      <c r="O20" s="14"/>
      <c r="P20" s="14"/>
      <c r="Q20" s="14"/>
      <c r="R20" s="14"/>
      <c r="S20" s="15"/>
    </row>
    <row r="21" ht="35.25" customHeight="1">
      <c r="A21" s="5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14"/>
      <c r="N21" s="14"/>
      <c r="O21" s="14"/>
      <c r="P21" s="14"/>
      <c r="Q21" s="14"/>
      <c r="R21" s="14"/>
      <c r="S21" s="15"/>
    </row>
    <row r="22" ht="78.75" customHeight="1">
      <c r="A22" s="96"/>
      <c r="B22" t="s" s="97">
        <v>39</v>
      </c>
      <c r="C22" s="98"/>
      <c r="D22" t="s" s="97">
        <v>40</v>
      </c>
      <c r="E22" s="98"/>
      <c r="F22" t="s" s="97">
        <v>41</v>
      </c>
      <c r="G22" t="s" s="97">
        <v>42</v>
      </c>
      <c r="H22" s="98"/>
      <c r="I22" t="s" s="97">
        <v>43</v>
      </c>
      <c r="J22" s="98"/>
      <c r="K22" t="s" s="97">
        <v>44</v>
      </c>
      <c r="L22" t="s" s="97">
        <v>45</v>
      </c>
      <c r="M22" t="s" s="99">
        <v>46</v>
      </c>
      <c r="N22" s="100"/>
      <c r="O22" s="100"/>
      <c r="P22" s="100"/>
      <c r="Q22" s="14"/>
      <c r="R22" s="14"/>
      <c r="S22" s="15"/>
    </row>
    <row r="23" ht="45.95" customHeight="1">
      <c r="A23" s="96"/>
      <c r="B23" s="271" cm="1">
        <f t="array" ref="B23">'DOMINGO'!B23</f>
        <v>0</v>
      </c>
      <c r="C23" s="44"/>
      <c r="D23" s="101"/>
      <c r="E23" s="101"/>
      <c r="F23" s="102" cm="1">
        <f t="array" ref="F23">($D$5/$D$31)*D23</f>
      </c>
      <c r="G23" s="103" cm="1">
        <f t="array" ref="G23">(($D$8-$O$5)/$D$31)*D23</f>
      </c>
      <c r="H23" s="104"/>
      <c r="I23" s="105"/>
      <c r="J23" s="105"/>
      <c r="K23" s="105"/>
      <c r="L23" s="105"/>
      <c r="M23" s="106"/>
      <c r="N23" s="100"/>
      <c r="O23" s="100"/>
      <c r="P23" s="100"/>
      <c r="Q23" s="77"/>
      <c r="R23" s="14"/>
      <c r="S23" s="15"/>
    </row>
    <row r="24" ht="45.95" customHeight="1">
      <c r="A24" s="96"/>
      <c r="B24" s="271" cm="1">
        <f t="array" ref="B24">'DOMINGO'!B24</f>
        <v>0</v>
      </c>
      <c r="C24" s="44"/>
      <c r="D24" s="101"/>
      <c r="E24" s="101"/>
      <c r="F24" s="102" cm="1">
        <f t="array" ref="F24">($D$5/$D$31)*D24</f>
      </c>
      <c r="G24" s="103" cm="1">
        <f t="array" ref="G24">(($D$8-$O$5)/$D$31)*D24</f>
      </c>
      <c r="H24" s="104"/>
      <c r="I24" s="105"/>
      <c r="J24" s="105"/>
      <c r="K24" s="105"/>
      <c r="L24" s="105"/>
      <c r="M24" s="106"/>
      <c r="N24" s="100"/>
      <c r="O24" s="100"/>
      <c r="P24" s="100"/>
      <c r="Q24" s="107"/>
      <c r="R24" s="14"/>
      <c r="S24" s="15"/>
    </row>
    <row r="25" ht="45.95" customHeight="1">
      <c r="A25" s="96"/>
      <c r="B25" s="271" cm="1">
        <f t="array" ref="B25">'DOMINGO'!B25</f>
        <v>0</v>
      </c>
      <c r="C25" s="44"/>
      <c r="D25" s="109"/>
      <c r="E25" s="110"/>
      <c r="F25" s="102" cm="1">
        <f t="array" ref="F25">($D$5/$D$31)*D25</f>
      </c>
      <c r="G25" s="103" cm="1">
        <f t="array" ref="G25">(($D$8-$O$5)/$D$31)*D25</f>
      </c>
      <c r="H25" s="104"/>
      <c r="I25" s="105"/>
      <c r="J25" s="44"/>
      <c r="K25" s="105"/>
      <c r="L25" s="105"/>
      <c r="M25" s="106"/>
      <c r="N25" s="100"/>
      <c r="O25" s="100"/>
      <c r="P25" s="100"/>
      <c r="Q25" s="107"/>
      <c r="R25" s="14"/>
      <c r="S25" s="15"/>
    </row>
    <row r="26" ht="45.95" customHeight="1">
      <c r="A26" s="96"/>
      <c r="B26" s="271" cm="1">
        <f t="array" ref="B26">'DOMINGO'!B26</f>
        <v>0</v>
      </c>
      <c r="C26" s="44"/>
      <c r="D26" s="109"/>
      <c r="E26" s="110"/>
      <c r="F26" s="102" cm="1">
        <f t="array" ref="F26">($D$5/$D$31)*D26</f>
      </c>
      <c r="G26" s="103" cm="1">
        <f t="array" ref="G26">(($D$8-$O$5)/$D$31)*D26</f>
      </c>
      <c r="H26" s="104"/>
      <c r="I26" s="105"/>
      <c r="J26" s="44"/>
      <c r="K26" s="105"/>
      <c r="L26" s="105"/>
      <c r="M26" s="106"/>
      <c r="N26" s="100"/>
      <c r="O26" s="100"/>
      <c r="P26" s="100"/>
      <c r="Q26" s="107"/>
      <c r="R26" s="14"/>
      <c r="S26" s="15"/>
    </row>
    <row r="27" ht="45.95" customHeight="1">
      <c r="A27" s="96"/>
      <c r="B27" s="271" cm="1">
        <f t="array" ref="B27">'DOMINGO'!B27</f>
        <v>0</v>
      </c>
      <c r="C27" s="44"/>
      <c r="D27" s="109"/>
      <c r="E27" s="110"/>
      <c r="F27" s="102" cm="1">
        <f t="array" ref="F27">($D$5/$D$31)*D27</f>
      </c>
      <c r="G27" s="103" cm="1">
        <f t="array" ref="G27">(($D$8-$O$5)/$D$31)*D27</f>
      </c>
      <c r="H27" s="104"/>
      <c r="I27" s="105"/>
      <c r="J27" s="44"/>
      <c r="K27" s="105"/>
      <c r="L27" s="105"/>
      <c r="M27" s="106"/>
      <c r="N27" s="100"/>
      <c r="O27" s="100"/>
      <c r="P27" s="100"/>
      <c r="Q27" s="107"/>
      <c r="R27" s="14"/>
      <c r="S27" s="15"/>
    </row>
    <row r="28" ht="45.95" customHeight="1">
      <c r="A28" s="96"/>
      <c r="B28" s="271" cm="1">
        <f t="array" ref="B28">'DOMINGO'!B28</f>
        <v>0</v>
      </c>
      <c r="C28" s="44"/>
      <c r="D28" s="109"/>
      <c r="E28" s="110"/>
      <c r="F28" s="102" cm="1">
        <f t="array" ref="F28">($D$5/$D$31)*D28</f>
      </c>
      <c r="G28" s="103" cm="1">
        <f t="array" ref="G28">(($D$8-$O$5)/$D$31)*D28</f>
      </c>
      <c r="H28" s="104"/>
      <c r="I28" s="105"/>
      <c r="J28" s="44"/>
      <c r="K28" s="105"/>
      <c r="L28" s="105"/>
      <c r="M28" s="106"/>
      <c r="N28" s="100"/>
      <c r="O28" s="100"/>
      <c r="P28" s="100"/>
      <c r="Q28" s="107"/>
      <c r="R28" s="14"/>
      <c r="S28" s="15"/>
    </row>
    <row r="29" ht="45.95" customHeight="1">
      <c r="A29" s="96"/>
      <c r="B29" s="271" cm="1">
        <f t="array" ref="B29">'DOMINGO'!B29</f>
        <v>0</v>
      </c>
      <c r="C29" s="44"/>
      <c r="D29" s="109"/>
      <c r="E29" s="110"/>
      <c r="F29" s="102" cm="1">
        <f t="array" ref="F29">($D$5/$D$31)*D29</f>
      </c>
      <c r="G29" s="103" cm="1">
        <f t="array" ref="G29">(($D$8-$O$5)/$D$31)*D29</f>
      </c>
      <c r="H29" s="104"/>
      <c r="I29" s="105"/>
      <c r="J29" s="44"/>
      <c r="K29" s="105"/>
      <c r="L29" s="105"/>
      <c r="M29" s="106"/>
      <c r="N29" s="100"/>
      <c r="O29" s="100"/>
      <c r="P29" s="100"/>
      <c r="Q29" s="107"/>
      <c r="R29" s="14"/>
      <c r="S29" s="15"/>
    </row>
    <row r="30" ht="45.95" customHeight="1">
      <c r="A30" s="96"/>
      <c r="B30" s="271" cm="1">
        <f t="array" ref="B30">'DOMINGO'!B30</f>
        <v>0</v>
      </c>
      <c r="C30" s="44"/>
      <c r="D30" s="101"/>
      <c r="E30" s="101"/>
      <c r="F30" s="102" cm="1">
        <f t="array" ref="F30">($D$5/$D$31)*D30</f>
      </c>
      <c r="G30" s="103" cm="1">
        <f t="array" ref="G30">(($D$8-$O$5)/$D$31)*D30</f>
      </c>
      <c r="H30" s="104"/>
      <c r="I30" s="105"/>
      <c r="J30" s="105"/>
      <c r="K30" s="105"/>
      <c r="L30" s="105"/>
      <c r="M30" s="106"/>
      <c r="N30" s="100"/>
      <c r="O30" s="100"/>
      <c r="P30" s="100"/>
      <c r="Q30" s="77"/>
      <c r="R30" s="14"/>
      <c r="S30" s="15"/>
    </row>
    <row r="31" ht="45.95" customHeight="1">
      <c r="A31" s="96"/>
      <c r="B31" t="s" s="111">
        <v>35</v>
      </c>
      <c r="C31" s="112"/>
      <c r="D31" s="102" cm="1">
        <f t="array" ref="D31">SUM(D23:D30)</f>
        <v>0</v>
      </c>
      <c r="E31" s="102"/>
      <c r="F31" s="102" cm="1">
        <f t="array" ref="F31">SUM(F23:F30)</f>
      </c>
      <c r="G31" s="103" cm="1">
        <f t="array" ref="G31">SUM(G23:H30)</f>
      </c>
      <c r="H31" s="104"/>
      <c r="I31" s="102" cm="1">
        <f t="array" ref="I31">SUM(I23:I30)</f>
        <v>0</v>
      </c>
      <c r="J31" s="102"/>
      <c r="K31" s="102" cm="1">
        <f t="array" ref="K31">O6</f>
      </c>
      <c r="L31" s="102" cm="1">
        <f t="array" ref="L31">O7</f>
      </c>
      <c r="M31" s="106"/>
      <c r="N31" s="100"/>
      <c r="O31" s="100"/>
      <c r="P31" s="100"/>
      <c r="Q31" s="77"/>
      <c r="R31" s="14"/>
      <c r="S31" s="15"/>
    </row>
    <row r="32" ht="45.95" customHeight="1">
      <c r="A32" s="113"/>
      <c r="B32" s="51"/>
      <c r="C32" s="58"/>
      <c r="D32" s="51"/>
      <c r="E32" s="51"/>
      <c r="F32" s="51"/>
      <c r="G32" s="51"/>
      <c r="H32" s="51"/>
      <c r="I32" s="114"/>
      <c r="J32" s="114"/>
      <c r="K32" s="114"/>
      <c r="L32" s="114"/>
      <c r="M32" s="115"/>
      <c r="N32" s="115"/>
      <c r="O32" s="115"/>
      <c r="P32" s="58"/>
      <c r="Q32" s="14"/>
      <c r="R32" s="14"/>
      <c r="S32" s="15"/>
    </row>
    <row r="33" ht="62.25" customHeight="1">
      <c r="A33" t="s" s="116">
        <v>47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73"/>
      <c r="Q33" s="118"/>
      <c r="R33" s="119"/>
      <c r="S33" s="15"/>
    </row>
    <row r="34" ht="56.45" customHeight="1">
      <c r="A34" s="120"/>
      <c r="B34" s="121"/>
      <c r="C34" s="121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56"/>
      <c r="O34" s="56"/>
      <c r="P34" s="56"/>
      <c r="Q34" s="14"/>
      <c r="R34" s="14"/>
      <c r="S34" s="15"/>
    </row>
    <row r="35" ht="73.5" customHeight="1">
      <c r="A35" s="122"/>
      <c r="B35" t="s" s="123">
        <v>48</v>
      </c>
      <c r="C35" s="124"/>
      <c r="D35" t="s" s="125">
        <v>49</v>
      </c>
      <c r="E35" t="s" s="126">
        <v>50</v>
      </c>
      <c r="F35" t="s" s="127">
        <v>51</v>
      </c>
      <c r="G35" t="s" s="126">
        <v>52</v>
      </c>
      <c r="H35" t="s" s="127">
        <v>53</v>
      </c>
      <c r="I35" t="s" s="128">
        <v>54</v>
      </c>
      <c r="J35" s="129"/>
      <c r="K35" t="s" s="130">
        <v>55</v>
      </c>
      <c r="L35" t="s" s="130">
        <v>56</v>
      </c>
      <c r="M35" t="s" s="130">
        <v>57</v>
      </c>
      <c r="N35" t="s" s="131">
        <v>58</v>
      </c>
      <c r="O35" s="132"/>
      <c r="P35" t="s" s="133">
        <v>59</v>
      </c>
      <c r="Q35" s="14"/>
      <c r="R35" s="14"/>
      <c r="S35" s="15"/>
    </row>
    <row r="36" ht="27" customHeight="1">
      <c r="A36" s="122"/>
      <c r="B36" s="134"/>
      <c r="C36" s="135"/>
      <c r="D36" s="136" cm="1">
        <f t="array" ref="D36">D5</f>
        <v>0</v>
      </c>
      <c r="E36" s="137" cm="1">
        <f t="array" ref="E36">H48</f>
        <v>0</v>
      </c>
      <c r="F36" s="137" cm="1">
        <f t="array" ref="F36">D8</f>
      </c>
      <c r="G36" s="137" cm="1">
        <f t="array" ref="G36">I48+K48</f>
        <v>0</v>
      </c>
      <c r="H36" s="138" cm="1">
        <f t="array" ref="H36">F48/E48</f>
      </c>
      <c r="I36" s="139" cm="1">
        <f t="array" ref="I36">H36-J6</f>
      </c>
      <c r="J36" s="140"/>
      <c r="K36" s="139" cm="1">
        <f t="array" ref="K36">K48/G36</f>
      </c>
      <c r="L36" s="140" cm="1">
        <f t="array" ref="L36">M48/G36</f>
      </c>
      <c r="M36" s="141" cm="1">
        <f t="array" ref="M36">N48/G36</f>
      </c>
      <c r="N36" s="142"/>
      <c r="O36" s="14"/>
      <c r="P36" s="14"/>
      <c r="Q36" s="14"/>
      <c r="R36" s="14"/>
      <c r="S36" s="15"/>
    </row>
    <row r="37" ht="15.6" customHeight="1">
      <c r="A37" s="55"/>
      <c r="B37" s="18"/>
      <c r="C37" s="18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14"/>
      <c r="O37" s="14"/>
      <c r="P37" s="14"/>
      <c r="Q37" s="14"/>
      <c r="R37" s="14"/>
      <c r="S37" s="15"/>
    </row>
    <row r="38" ht="15.6" customHeight="1">
      <c r="A38" s="55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"/>
      <c r="P38" s="14"/>
      <c r="Q38" s="14"/>
      <c r="R38" s="14"/>
      <c r="S38" s="15"/>
    </row>
    <row r="39" ht="57.95" customHeight="1">
      <c r="A39" s="122"/>
      <c r="B39" t="s" s="144">
        <v>60</v>
      </c>
      <c r="C39" s="145"/>
      <c r="D39" t="s" s="146">
        <v>40</v>
      </c>
      <c r="E39" t="s" s="146">
        <v>61</v>
      </c>
      <c r="F39" t="s" s="146">
        <v>62</v>
      </c>
      <c r="G39" t="s" s="146">
        <v>63</v>
      </c>
      <c r="H39" t="s" s="146">
        <v>64</v>
      </c>
      <c r="I39" t="s" s="146">
        <v>65</v>
      </c>
      <c r="J39" t="s" s="146">
        <v>66</v>
      </c>
      <c r="K39" t="s" s="146">
        <v>67</v>
      </c>
      <c r="L39" t="s" s="146">
        <v>68</v>
      </c>
      <c r="M39" t="s" s="146">
        <v>69</v>
      </c>
      <c r="N39" t="s" s="147">
        <v>70</v>
      </c>
      <c r="O39" s="13"/>
      <c r="P39" s="14"/>
      <c r="Q39" s="14"/>
      <c r="R39" t="s" s="148">
        <v>71</v>
      </c>
      <c r="S39" s="15"/>
    </row>
    <row r="40" ht="45.95" customHeight="1">
      <c r="A40" s="122"/>
      <c r="B40" s="149" cm="1">
        <f t="array" ref="B40">B23</f>
        <v>0</v>
      </c>
      <c r="C40" s="150"/>
      <c r="D40" s="151" cm="1">
        <f t="array" ref="D40">D23</f>
        <v>0</v>
      </c>
      <c r="E40" s="152"/>
      <c r="F40" s="153"/>
      <c r="G40" t="str" s="150" cm="1">
        <f t="array" ref="G40">_xlfn.IFERROR(F40/E40,"0")</f>
        <v>0</v>
      </c>
      <c r="H40" s="153"/>
      <c r="I40" s="153"/>
      <c r="J40" s="153"/>
      <c r="K40" s="153"/>
      <c r="L40" t="str" s="150" cm="1">
        <f t="array" ref="L40">_xlfn.IFERROR(K40/J40,"0")</f>
        <v>0</v>
      </c>
      <c r="M40" s="153"/>
      <c r="N40" s="154"/>
      <c r="O40" s="13"/>
      <c r="P40" s="14"/>
      <c r="Q40" s="14"/>
      <c r="R40" s="14"/>
      <c r="S40" s="15"/>
    </row>
    <row r="41" ht="45.95" customHeight="1">
      <c r="A41" s="122"/>
      <c r="B41" s="149" cm="1">
        <f t="array" ref="B41">B24</f>
        <v>0</v>
      </c>
      <c r="C41" s="150"/>
      <c r="D41" s="151" cm="1">
        <f t="array" ref="D41">D24</f>
        <v>0</v>
      </c>
      <c r="E41" s="152"/>
      <c r="F41" s="153"/>
      <c r="G41" t="str" s="150" cm="1">
        <f t="array" ref="G41">_xlfn.IFERROR(F41/E41,"0")</f>
        <v>0</v>
      </c>
      <c r="H41" s="153"/>
      <c r="I41" s="153"/>
      <c r="J41" s="153"/>
      <c r="K41" s="153"/>
      <c r="L41" t="str" s="150" cm="1">
        <f t="array" ref="L41">_xlfn.IFERROR(K41/J41,"0")</f>
        <v>0</v>
      </c>
      <c r="M41" s="153"/>
      <c r="N41" s="154"/>
      <c r="O41" s="13"/>
      <c r="P41" s="14"/>
      <c r="Q41" s="14"/>
      <c r="R41" s="14"/>
      <c r="S41" s="15"/>
    </row>
    <row r="42" ht="45.95" customHeight="1">
      <c r="A42" s="122"/>
      <c r="B42" s="149" cm="1">
        <f t="array" ref="B42">B25</f>
        <v>0</v>
      </c>
      <c r="C42" s="150"/>
      <c r="D42" s="151" cm="1">
        <f t="array" ref="D42">D25</f>
        <v>0</v>
      </c>
      <c r="E42" s="152"/>
      <c r="F42" s="153"/>
      <c r="G42" t="str" s="150" cm="1">
        <f t="array" ref="G42">_xlfn.IFERROR(F42/E42,"0")</f>
        <v>0</v>
      </c>
      <c r="H42" s="153"/>
      <c r="I42" s="153"/>
      <c r="J42" s="153"/>
      <c r="K42" s="153"/>
      <c r="L42" t="str" s="150" cm="1">
        <f t="array" ref="L42">_xlfn.IFERROR(K42/J42,"0")</f>
        <v>0</v>
      </c>
      <c r="M42" s="153"/>
      <c r="N42" s="154"/>
      <c r="O42" s="13"/>
      <c r="P42" s="14"/>
      <c r="Q42" s="14"/>
      <c r="R42" s="14"/>
      <c r="S42" s="15"/>
    </row>
    <row r="43" ht="45.95" customHeight="1">
      <c r="A43" s="122"/>
      <c r="B43" s="149" cm="1">
        <f t="array" ref="B43">B26</f>
        <v>0</v>
      </c>
      <c r="C43" s="153"/>
      <c r="D43" s="151" cm="1">
        <f t="array" ref="D43">D26</f>
        <v>0</v>
      </c>
      <c r="E43" s="152"/>
      <c r="F43" s="153"/>
      <c r="G43" t="str" s="150" cm="1">
        <f t="array" ref="G43">_xlfn.IFERROR(F43/E43,"0")</f>
        <v>0</v>
      </c>
      <c r="H43" s="153"/>
      <c r="I43" s="153"/>
      <c r="J43" s="153"/>
      <c r="K43" s="153"/>
      <c r="L43" t="str" s="150" cm="1">
        <f t="array" ref="L43">_xlfn.IFERROR(K43/J43,"0")</f>
        <v>0</v>
      </c>
      <c r="M43" s="153"/>
      <c r="N43" s="154"/>
      <c r="O43" s="13"/>
      <c r="P43" s="14"/>
      <c r="Q43" s="14"/>
      <c r="R43" s="14"/>
      <c r="S43" s="15"/>
    </row>
    <row r="44" ht="45.95" customHeight="1">
      <c r="A44" s="122"/>
      <c r="B44" s="149" cm="1">
        <f t="array" ref="B44">B27</f>
        <v>0</v>
      </c>
      <c r="C44" s="153"/>
      <c r="D44" s="151" cm="1">
        <f t="array" ref="D44">D27</f>
        <v>0</v>
      </c>
      <c r="E44" s="152"/>
      <c r="F44" s="153"/>
      <c r="G44" t="str" s="150" cm="1">
        <f t="array" ref="G44">_xlfn.IFERROR(F44/E44,"0")</f>
        <v>0</v>
      </c>
      <c r="H44" s="153"/>
      <c r="I44" s="153"/>
      <c r="J44" s="153"/>
      <c r="K44" s="153"/>
      <c r="L44" t="str" s="150" cm="1">
        <f t="array" ref="L44">_xlfn.IFERROR(K44/J44,"0")</f>
        <v>0</v>
      </c>
      <c r="M44" s="153"/>
      <c r="N44" s="154"/>
      <c r="O44" s="13"/>
      <c r="P44" s="14"/>
      <c r="Q44" s="14"/>
      <c r="R44" s="14"/>
      <c r="S44" s="15"/>
    </row>
    <row r="45" ht="45.95" customHeight="1">
      <c r="A45" s="122"/>
      <c r="B45" s="149" cm="1">
        <f t="array" ref="B45">B28</f>
        <v>0</v>
      </c>
      <c r="C45" s="153"/>
      <c r="D45" s="151" cm="1">
        <f t="array" ref="D45">D28</f>
        <v>0</v>
      </c>
      <c r="E45" s="152"/>
      <c r="F45" s="153"/>
      <c r="G45" t="str" s="150" cm="1">
        <f t="array" ref="G45">_xlfn.IFERROR(F45/E45,"0")</f>
        <v>0</v>
      </c>
      <c r="H45" s="153"/>
      <c r="I45" s="153"/>
      <c r="J45" s="153"/>
      <c r="K45" s="153"/>
      <c r="L45" t="str" s="150" cm="1">
        <f t="array" ref="L45">_xlfn.IFERROR(K45/J45,"0")</f>
        <v>0</v>
      </c>
      <c r="M45" s="153"/>
      <c r="N45" s="154"/>
      <c r="O45" s="13"/>
      <c r="P45" s="14"/>
      <c r="Q45" s="14"/>
      <c r="R45" s="14"/>
      <c r="S45" s="15"/>
    </row>
    <row r="46" ht="45.95" customHeight="1">
      <c r="A46" s="122"/>
      <c r="B46" s="149" cm="1">
        <f t="array" ref="B46">B29</f>
        <v>0</v>
      </c>
      <c r="C46" s="153"/>
      <c r="D46" s="151" cm="1">
        <f t="array" ref="D46">D29</f>
        <v>0</v>
      </c>
      <c r="E46" s="152"/>
      <c r="F46" s="153"/>
      <c r="G46" t="str" s="150" cm="1">
        <f t="array" ref="G46">_xlfn.IFERROR(F46/E46,"0")</f>
        <v>0</v>
      </c>
      <c r="H46" s="153"/>
      <c r="I46" s="153"/>
      <c r="J46" s="153"/>
      <c r="K46" s="153"/>
      <c r="L46" t="str" s="150" cm="1">
        <f t="array" ref="L46">_xlfn.IFERROR(K46/J46,"0")</f>
        <v>0</v>
      </c>
      <c r="M46" s="153"/>
      <c r="N46" s="154"/>
      <c r="O46" s="13"/>
      <c r="P46" s="14"/>
      <c r="Q46" s="14"/>
      <c r="R46" s="14"/>
      <c r="S46" s="15"/>
    </row>
    <row r="47" ht="45.95" customHeight="1">
      <c r="A47" s="122"/>
      <c r="B47" s="149" cm="1">
        <f t="array" ref="B47">B30</f>
        <v>0</v>
      </c>
      <c r="C47" s="153"/>
      <c r="D47" s="151" cm="1">
        <f t="array" ref="D47">D30</f>
        <v>0</v>
      </c>
      <c r="E47" s="152"/>
      <c r="F47" s="153"/>
      <c r="G47" t="str" s="150" cm="1">
        <f t="array" ref="G47">_xlfn.IFERROR(F47/E47,"0")</f>
        <v>0</v>
      </c>
      <c r="H47" s="153"/>
      <c r="I47" s="153"/>
      <c r="J47" s="153"/>
      <c r="K47" s="153"/>
      <c r="L47" t="str" s="150" cm="1">
        <f t="array" ref="L47">_xlfn.IFERROR(K47/J47,"0")</f>
        <v>0</v>
      </c>
      <c r="M47" s="153"/>
      <c r="N47" s="154"/>
      <c r="O47" s="13"/>
      <c r="P47" s="14"/>
      <c r="Q47" s="14"/>
      <c r="R47" s="14"/>
      <c r="S47" s="15"/>
    </row>
    <row r="48" ht="45.95" customHeight="1">
      <c r="A48" s="155"/>
      <c r="B48" t="s" s="156">
        <v>35</v>
      </c>
      <c r="C48" s="157"/>
      <c r="D48" s="158" cm="1">
        <f t="array" ref="D48">SUM(D40:D42)</f>
        <v>0</v>
      </c>
      <c r="E48" s="159" cm="1">
        <f t="array" ref="E48">SUM(E40:E47)</f>
        <v>0</v>
      </c>
      <c r="F48" s="159" cm="1">
        <f t="array" ref="F48">SUM(F40:F47)</f>
        <v>0</v>
      </c>
      <c r="G48" t="str" s="157" cm="1">
        <f t="array" ref="G48">_xlfn.IFERROR(F48/E48,"0")</f>
        <v>0</v>
      </c>
      <c r="H48" s="159" cm="1">
        <f t="array" ref="H48">SUM(H40:H47)</f>
        <v>0</v>
      </c>
      <c r="I48" s="159" cm="1">
        <f t="array" ref="I48">SUM(I40:I47)</f>
        <v>0</v>
      </c>
      <c r="J48" s="159" cm="1">
        <f t="array" ref="J48">SUM(J40:J47)</f>
        <v>0</v>
      </c>
      <c r="K48" s="159" cm="1">
        <f t="array" ref="K48">SUM(K40:K47)</f>
        <v>0</v>
      </c>
      <c r="L48" t="str" s="157" cm="1">
        <f t="array" ref="L48">_xlfn.IFERROR(K48/J48,"0")</f>
        <v>0</v>
      </c>
      <c r="M48" s="159" cm="1">
        <f t="array" ref="M48">SUM(M40:M47)</f>
        <v>0</v>
      </c>
      <c r="N48" s="159" cm="1">
        <f t="array" ref="N48">SUM(N40:N47)</f>
        <v>0</v>
      </c>
      <c r="O48" s="160"/>
      <c r="P48" s="161"/>
      <c r="Q48" s="162">
        <v>3</v>
      </c>
      <c r="R48" s="161"/>
      <c r="S48" s="163"/>
    </row>
  </sheetData>
  <mergeCells count="90">
    <mergeCell ref="N12:O12"/>
    <mergeCell ref="B42:C42"/>
    <mergeCell ref="B41:C41"/>
    <mergeCell ref="B39:C39"/>
    <mergeCell ref="B40:C40"/>
    <mergeCell ref="B35:C36"/>
    <mergeCell ref="I35:J35"/>
    <mergeCell ref="I36:J36"/>
    <mergeCell ref="D25:E25"/>
    <mergeCell ref="D26:E26"/>
    <mergeCell ref="D27:E27"/>
    <mergeCell ref="C1:E1"/>
    <mergeCell ref="B4:D4"/>
    <mergeCell ref="B5:C5"/>
    <mergeCell ref="B6:C6"/>
    <mergeCell ref="B7:C7"/>
    <mergeCell ref="B48:C48"/>
    <mergeCell ref="L10:M10"/>
    <mergeCell ref="N10:O10"/>
    <mergeCell ref="B11:E11"/>
    <mergeCell ref="A33:P33"/>
    <mergeCell ref="M22:P31"/>
    <mergeCell ref="B22:C22"/>
    <mergeCell ref="B31:C31"/>
    <mergeCell ref="L12:M12"/>
    <mergeCell ref="L11:M11"/>
    <mergeCell ref="N11:O11"/>
    <mergeCell ref="L14:M14"/>
    <mergeCell ref="N14:O14"/>
    <mergeCell ref="L8:O8"/>
    <mergeCell ref="L4:N4"/>
    <mergeCell ref="L5:M5"/>
    <mergeCell ref="L6:M6"/>
    <mergeCell ref="L7:M7"/>
    <mergeCell ref="G11:J11"/>
    <mergeCell ref="D12:E12"/>
    <mergeCell ref="D13:E13"/>
    <mergeCell ref="I12:J12"/>
    <mergeCell ref="G4:J4"/>
    <mergeCell ref="G5:I5"/>
    <mergeCell ref="G6:I6"/>
    <mergeCell ref="G7:I7"/>
    <mergeCell ref="G8:I8"/>
    <mergeCell ref="I30:J30"/>
    <mergeCell ref="I31:J31"/>
    <mergeCell ref="D24:E24"/>
    <mergeCell ref="D30:E30"/>
    <mergeCell ref="D31:E31"/>
    <mergeCell ref="G31:H31"/>
    <mergeCell ref="D28:E28"/>
    <mergeCell ref="D29:E29"/>
    <mergeCell ref="O1:P1"/>
    <mergeCell ref="A2:P2"/>
    <mergeCell ref="I24:J24"/>
    <mergeCell ref="G22:H22"/>
    <mergeCell ref="B12:C12"/>
    <mergeCell ref="D22:E22"/>
    <mergeCell ref="D23:E23"/>
    <mergeCell ref="G9:J9"/>
    <mergeCell ref="B8:C8"/>
    <mergeCell ref="I22:J22"/>
    <mergeCell ref="I23:J23"/>
    <mergeCell ref="B13:C13"/>
    <mergeCell ref="G12:H12"/>
    <mergeCell ref="I25:J25"/>
    <mergeCell ref="I26:J26"/>
    <mergeCell ref="I27:J27"/>
    <mergeCell ref="I28:J28"/>
    <mergeCell ref="I29:J29"/>
    <mergeCell ref="B47:C47"/>
    <mergeCell ref="B46:C46"/>
    <mergeCell ref="B45:C45"/>
    <mergeCell ref="B44:C44"/>
    <mergeCell ref="B43:C43"/>
    <mergeCell ref="G30:H30"/>
    <mergeCell ref="G29:H29"/>
    <mergeCell ref="G28:H28"/>
    <mergeCell ref="G27:H27"/>
    <mergeCell ref="G26:H26"/>
    <mergeCell ref="G25:H25"/>
    <mergeCell ref="G24:H24"/>
    <mergeCell ref="G23:H23"/>
    <mergeCell ref="B30:C30"/>
    <mergeCell ref="B29:C29"/>
    <mergeCell ref="B28:C28"/>
    <mergeCell ref="B27:C27"/>
    <mergeCell ref="B26:C26"/>
    <mergeCell ref="B25:C25"/>
    <mergeCell ref="B24:C24"/>
    <mergeCell ref="B23:C23"/>
  </mergeCells>
  <pageMargins left="0.25" right="0.25" top="0.32" bottom="0.29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HR36"/>
  <sheetViews>
    <sheetView workbookViewId="0" showGridLines="0" defaultGridColor="1"/>
  </sheetViews>
  <sheetFormatPr defaultColWidth="16.1667" defaultRowHeight="54.75" customHeight="1" outlineLevelRow="0" outlineLevelCol="0"/>
  <cols>
    <col min="1" max="226" width="16.1719" style="282" customWidth="1"/>
    <col min="227" max="16384" width="16.1719" style="282" customWidth="1"/>
  </cols>
  <sheetData>
    <row r="1" ht="94.5" customHeight="1">
      <c r="A1" s="165"/>
      <c r="B1" s="166"/>
      <c r="C1" t="s" s="167">
        <v>73</v>
      </c>
      <c r="D1" s="168"/>
      <c r="E1" s="168"/>
      <c r="F1" s="168"/>
      <c r="G1" s="168"/>
      <c r="H1" s="169"/>
      <c r="I1" t="s" s="170">
        <v>1</v>
      </c>
      <c r="J1" s="171"/>
      <c r="K1" t="s" s="172">
        <v>2</v>
      </c>
      <c r="L1" s="173"/>
      <c r="M1" s="174"/>
      <c r="N1" t="s" s="175">
        <v>4</v>
      </c>
      <c r="O1" s="176"/>
      <c r="P1" s="177"/>
      <c r="Q1" s="178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80"/>
    </row>
    <row r="2" ht="54.75" customHeight="1">
      <c r="A2" t="s" s="181">
        <v>74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3"/>
      <c r="Q2" s="184"/>
      <c r="R2" s="185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7"/>
    </row>
    <row r="3" ht="54.75" customHeight="1">
      <c r="A3" s="188"/>
      <c r="B3" s="189"/>
      <c r="C3" s="189"/>
      <c r="D3" s="189"/>
      <c r="E3" s="189"/>
      <c r="F3" s="189"/>
      <c r="G3" s="190"/>
      <c r="H3" s="190"/>
      <c r="I3" s="189"/>
      <c r="J3" s="189"/>
      <c r="K3" s="189"/>
      <c r="L3" s="189"/>
      <c r="M3" s="189"/>
      <c r="N3" s="189"/>
      <c r="O3" s="189"/>
      <c r="P3" s="189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7"/>
    </row>
    <row r="4" ht="54.75" customHeight="1">
      <c r="A4" s="191"/>
      <c r="B4" t="s" s="192">
        <v>40</v>
      </c>
      <c r="C4" t="s" s="193">
        <v>75</v>
      </c>
      <c r="D4" t="s" s="193">
        <v>76</v>
      </c>
      <c r="E4" t="s" s="193">
        <v>77</v>
      </c>
      <c r="F4" t="s" s="194">
        <v>78</v>
      </c>
      <c r="G4" s="195"/>
      <c r="H4" s="196"/>
      <c r="I4" t="s" s="197">
        <v>79</v>
      </c>
      <c r="J4" s="198"/>
      <c r="K4" s="198"/>
      <c r="L4" s="198"/>
      <c r="M4" s="198"/>
      <c r="N4" s="198"/>
      <c r="O4" s="198"/>
      <c r="P4" s="199"/>
      <c r="Q4" s="195"/>
      <c r="R4" s="200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  <c r="FD4" s="186"/>
      <c r="FE4" s="186"/>
      <c r="FF4" s="186"/>
      <c r="FG4" s="186"/>
      <c r="FH4" s="186"/>
      <c r="FI4" s="186"/>
      <c r="FJ4" s="186"/>
      <c r="FK4" s="186"/>
      <c r="FL4" s="186"/>
      <c r="FM4" s="186"/>
      <c r="FN4" s="186"/>
      <c r="FO4" s="186"/>
      <c r="FP4" s="186"/>
      <c r="FQ4" s="186"/>
      <c r="FR4" s="186"/>
      <c r="FS4" s="186"/>
      <c r="FT4" s="186"/>
      <c r="FU4" s="186"/>
      <c r="FV4" s="186"/>
      <c r="FW4" s="186"/>
      <c r="FX4" s="186"/>
      <c r="FY4" s="186"/>
      <c r="FZ4" s="186"/>
      <c r="GA4" s="186"/>
      <c r="GB4" s="186"/>
      <c r="GC4" s="186"/>
      <c r="GD4" s="186"/>
      <c r="GE4" s="186"/>
      <c r="GF4" s="186"/>
      <c r="GG4" s="186"/>
      <c r="GH4" s="186"/>
      <c r="GI4" s="186"/>
      <c r="GJ4" s="186"/>
      <c r="GK4" s="186"/>
      <c r="GL4" s="186"/>
      <c r="GM4" s="186"/>
      <c r="GN4" s="186"/>
      <c r="GO4" s="186"/>
      <c r="GP4" s="186"/>
      <c r="GQ4" s="186"/>
      <c r="GR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  <c r="HL4" s="186"/>
      <c r="HM4" s="186"/>
      <c r="HN4" s="186"/>
      <c r="HO4" s="186"/>
      <c r="HP4" s="186"/>
      <c r="HQ4" s="186"/>
      <c r="HR4" s="187"/>
    </row>
    <row r="5" ht="54.75" customHeight="1">
      <c r="A5" s="191"/>
      <c r="B5" s="201" cm="1">
        <f t="array" ref="B5">'VIERNES'!D31</f>
        <v>0</v>
      </c>
      <c r="C5" s="202" cm="1">
        <f t="array" ref="C5">'VIERNES'!D5</f>
        <v>0</v>
      </c>
      <c r="D5" s="202" cm="1">
        <f t="array" ref="D5">'VIERNES'!D8</f>
      </c>
      <c r="E5" s="202" cm="1">
        <f t="array" ref="E5">'VIERNES'!D12</f>
      </c>
      <c r="F5" s="203" cm="1">
        <f t="array" ref="F5">'VIERNES'!D13</f>
      </c>
      <c r="G5" s="195"/>
      <c r="H5" s="196"/>
      <c r="I5" s="204"/>
      <c r="J5" s="205"/>
      <c r="K5" s="205"/>
      <c r="L5" s="205"/>
      <c r="M5" s="205"/>
      <c r="N5" s="205"/>
      <c r="O5" s="205"/>
      <c r="P5" s="206"/>
      <c r="Q5" s="195"/>
      <c r="R5" s="200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/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/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86"/>
      <c r="GI5" s="186"/>
      <c r="GJ5" s="186"/>
      <c r="GK5" s="186"/>
      <c r="GL5" s="186"/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/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7"/>
    </row>
    <row r="6" ht="54.75" customHeight="1">
      <c r="A6" s="207"/>
      <c r="B6" s="208"/>
      <c r="C6" s="208"/>
      <c r="D6" s="208"/>
      <c r="E6" s="208"/>
      <c r="F6" s="208"/>
      <c r="G6" s="186"/>
      <c r="H6" s="186"/>
      <c r="I6" s="208"/>
      <c r="J6" s="208"/>
      <c r="K6" s="208"/>
      <c r="L6" s="208"/>
      <c r="M6" s="208"/>
      <c r="N6" s="208"/>
      <c r="O6" s="208"/>
      <c r="P6" s="208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/>
      <c r="ET6" s="186"/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/>
      <c r="HC6" s="186"/>
      <c r="HD6" s="186"/>
      <c r="HE6" s="186"/>
      <c r="HF6" s="186"/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7"/>
    </row>
    <row r="7" ht="54.75" customHeight="1">
      <c r="A7" s="191"/>
      <c r="B7" t="s" s="209">
        <v>80</v>
      </c>
      <c r="C7" s="210"/>
      <c r="D7" s="210"/>
      <c r="E7" s="210"/>
      <c r="F7" s="211"/>
      <c r="G7" s="195"/>
      <c r="H7" s="196"/>
      <c r="I7" t="s" s="209">
        <v>81</v>
      </c>
      <c r="J7" s="210"/>
      <c r="K7" s="210"/>
      <c r="L7" s="210"/>
      <c r="M7" s="210"/>
      <c r="N7" s="210"/>
      <c r="O7" s="210"/>
      <c r="P7" s="211"/>
      <c r="Q7" s="195"/>
      <c r="R7" s="212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  <c r="DM7" s="186"/>
      <c r="DN7" s="186"/>
      <c r="DO7" s="186"/>
      <c r="DP7" s="186"/>
      <c r="DQ7" s="186"/>
      <c r="DR7" s="186"/>
      <c r="DS7" s="186"/>
      <c r="DT7" s="186"/>
      <c r="DU7" s="186"/>
      <c r="DV7" s="186"/>
      <c r="DW7" s="186"/>
      <c r="DX7" s="186"/>
      <c r="DY7" s="186"/>
      <c r="DZ7" s="186"/>
      <c r="EA7" s="186"/>
      <c r="EB7" s="186"/>
      <c r="EC7" s="186"/>
      <c r="ED7" s="186"/>
      <c r="EE7" s="186"/>
      <c r="EF7" s="186"/>
      <c r="EG7" s="186"/>
      <c r="EH7" s="186"/>
      <c r="EI7" s="186"/>
      <c r="EJ7" s="186"/>
      <c r="EK7" s="186"/>
      <c r="EL7" s="186"/>
      <c r="EM7" s="186"/>
      <c r="EN7" s="186"/>
      <c r="EO7" s="186"/>
      <c r="EP7" s="186"/>
      <c r="EQ7" s="186"/>
      <c r="ER7" s="186"/>
      <c r="ES7" s="186"/>
      <c r="ET7" s="186"/>
      <c r="EU7" s="186"/>
      <c r="EV7" s="186"/>
      <c r="EW7" s="186"/>
      <c r="EX7" s="186"/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6"/>
      <c r="FS7" s="186"/>
      <c r="FT7" s="186"/>
      <c r="FU7" s="186"/>
      <c r="FV7" s="186"/>
      <c r="FW7" s="186"/>
      <c r="FX7" s="186"/>
      <c r="FY7" s="186"/>
      <c r="FZ7" s="186"/>
      <c r="GA7" s="186"/>
      <c r="GB7" s="186"/>
      <c r="GC7" s="186"/>
      <c r="GD7" s="186"/>
      <c r="GE7" s="186"/>
      <c r="GF7" s="186"/>
      <c r="GG7" s="186"/>
      <c r="GH7" s="186"/>
      <c r="GI7" s="186"/>
      <c r="GJ7" s="186"/>
      <c r="GK7" s="186"/>
      <c r="GL7" s="186"/>
      <c r="GM7" s="186"/>
      <c r="GN7" s="186"/>
      <c r="GO7" s="186"/>
      <c r="GP7" s="186"/>
      <c r="GQ7" s="186"/>
      <c r="GR7" s="186"/>
      <c r="GS7" s="186"/>
      <c r="GT7" s="186"/>
      <c r="GU7" s="186"/>
      <c r="GV7" s="186"/>
      <c r="GW7" s="186"/>
      <c r="GX7" s="186"/>
      <c r="GY7" s="186"/>
      <c r="GZ7" s="186"/>
      <c r="HA7" s="186"/>
      <c r="HB7" s="186"/>
      <c r="HC7" s="186"/>
      <c r="HD7" s="186"/>
      <c r="HE7" s="186"/>
      <c r="HF7" s="186"/>
      <c r="HG7" s="186"/>
      <c r="HH7" s="186"/>
      <c r="HI7" s="186"/>
      <c r="HJ7" s="186"/>
      <c r="HK7" s="186"/>
      <c r="HL7" s="186"/>
      <c r="HM7" s="186"/>
      <c r="HN7" s="186"/>
      <c r="HO7" s="186"/>
      <c r="HP7" s="186"/>
      <c r="HQ7" s="186"/>
      <c r="HR7" s="187"/>
    </row>
    <row r="8" ht="54.75" customHeight="1">
      <c r="A8" s="207"/>
      <c r="B8" s="213"/>
      <c r="C8" s="213"/>
      <c r="D8" s="213"/>
      <c r="E8" s="213"/>
      <c r="F8" s="213"/>
      <c r="G8" s="186"/>
      <c r="H8" s="186"/>
      <c r="I8" s="213"/>
      <c r="J8" s="213"/>
      <c r="K8" s="213"/>
      <c r="L8" s="213"/>
      <c r="M8" s="213"/>
      <c r="N8" s="213"/>
      <c r="O8" s="213"/>
      <c r="P8" s="213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  <c r="DM8" s="186"/>
      <c r="DN8" s="186"/>
      <c r="DO8" s="186"/>
      <c r="DP8" s="186"/>
      <c r="DQ8" s="186"/>
      <c r="DR8" s="186"/>
      <c r="DS8" s="186"/>
      <c r="DT8" s="186"/>
      <c r="DU8" s="186"/>
      <c r="DV8" s="186"/>
      <c r="DW8" s="186"/>
      <c r="DX8" s="186"/>
      <c r="DY8" s="186"/>
      <c r="DZ8" s="186"/>
      <c r="EA8" s="186"/>
      <c r="EB8" s="186"/>
      <c r="EC8" s="186"/>
      <c r="ED8" s="186"/>
      <c r="EE8" s="186"/>
      <c r="EF8" s="186"/>
      <c r="EG8" s="186"/>
      <c r="EH8" s="186"/>
      <c r="EI8" s="186"/>
      <c r="EJ8" s="186"/>
      <c r="EK8" s="186"/>
      <c r="EL8" s="186"/>
      <c r="EM8" s="186"/>
      <c r="EN8" s="186"/>
      <c r="EO8" s="186"/>
      <c r="EP8" s="186"/>
      <c r="EQ8" s="186"/>
      <c r="ER8" s="186"/>
      <c r="ES8" s="186"/>
      <c r="ET8" s="186"/>
      <c r="EU8" s="186"/>
      <c r="EV8" s="186"/>
      <c r="EW8" s="186"/>
      <c r="EX8" s="186"/>
      <c r="EY8" s="186"/>
      <c r="EZ8" s="186"/>
      <c r="FA8" s="186"/>
      <c r="FB8" s="186"/>
      <c r="FC8" s="186"/>
      <c r="FD8" s="186"/>
      <c r="FE8" s="186"/>
      <c r="FF8" s="186"/>
      <c r="FG8" s="186"/>
      <c r="FH8" s="186"/>
      <c r="FI8" s="186"/>
      <c r="FJ8" s="186"/>
      <c r="FK8" s="186"/>
      <c r="FL8" s="186"/>
      <c r="FM8" s="186"/>
      <c r="FN8" s="186"/>
      <c r="FO8" s="186"/>
      <c r="FP8" s="186"/>
      <c r="FQ8" s="186"/>
      <c r="FR8" s="186"/>
      <c r="FS8" s="186"/>
      <c r="FT8" s="186"/>
      <c r="FU8" s="186"/>
      <c r="FV8" s="186"/>
      <c r="FW8" s="186"/>
      <c r="FX8" s="186"/>
      <c r="FY8" s="186"/>
      <c r="FZ8" s="186"/>
      <c r="GA8" s="186"/>
      <c r="GB8" s="186"/>
      <c r="GC8" s="186"/>
      <c r="GD8" s="186"/>
      <c r="GE8" s="186"/>
      <c r="GF8" s="186"/>
      <c r="GG8" s="186"/>
      <c r="GH8" s="186"/>
      <c r="GI8" s="186"/>
      <c r="GJ8" s="186"/>
      <c r="GK8" s="186"/>
      <c r="GL8" s="186"/>
      <c r="GM8" s="186"/>
      <c r="GN8" s="186"/>
      <c r="GO8" s="186"/>
      <c r="GP8" s="186"/>
      <c r="GQ8" s="186"/>
      <c r="GR8" s="186"/>
      <c r="GS8" s="186"/>
      <c r="GT8" s="186"/>
      <c r="GU8" s="186"/>
      <c r="GV8" s="186"/>
      <c r="GW8" s="186"/>
      <c r="GX8" s="186"/>
      <c r="GY8" s="186"/>
      <c r="GZ8" s="186"/>
      <c r="HA8" s="186"/>
      <c r="HB8" s="186"/>
      <c r="HC8" s="186"/>
      <c r="HD8" s="186"/>
      <c r="HE8" s="186"/>
      <c r="HF8" s="186"/>
      <c r="HG8" s="186"/>
      <c r="HH8" s="186"/>
      <c r="HI8" s="186"/>
      <c r="HJ8" s="186"/>
      <c r="HK8" s="186"/>
      <c r="HL8" s="186"/>
      <c r="HM8" s="186"/>
      <c r="HN8" s="186"/>
      <c r="HO8" s="186"/>
      <c r="HP8" s="186"/>
      <c r="HQ8" s="186"/>
      <c r="HR8" s="187"/>
    </row>
    <row r="9" ht="54.75" customHeight="1">
      <c r="A9" s="207"/>
      <c r="B9" t="s" s="214">
        <v>82</v>
      </c>
      <c r="C9" s="215"/>
      <c r="D9" s="215"/>
      <c r="E9" s="215"/>
      <c r="F9" s="216"/>
      <c r="G9" s="186"/>
      <c r="H9" s="186"/>
      <c r="I9" t="s" s="217">
        <v>83</v>
      </c>
      <c r="J9" s="218"/>
      <c r="K9" s="218"/>
      <c r="L9" s="218"/>
      <c r="M9" s="218"/>
      <c r="N9" s="218"/>
      <c r="O9" s="218"/>
      <c r="P9" s="215"/>
      <c r="Q9" s="186"/>
      <c r="R9" s="215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7"/>
    </row>
    <row r="10" ht="54.75" customHeight="1">
      <c r="A10" s="207"/>
      <c r="B10" t="s" s="214">
        <v>84</v>
      </c>
      <c r="C10" s="215"/>
      <c r="D10" s="215"/>
      <c r="E10" s="215"/>
      <c r="F10" s="219"/>
      <c r="G10" s="186"/>
      <c r="H10" s="186"/>
      <c r="I10" t="s" s="220">
        <v>85</v>
      </c>
      <c r="J10" s="221"/>
      <c r="K10" s="221"/>
      <c r="L10" s="221"/>
      <c r="M10" s="221"/>
      <c r="N10" s="221"/>
      <c r="O10" s="221"/>
      <c r="P10" s="222"/>
      <c r="Q10" s="186"/>
      <c r="R10" s="222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  <c r="DM10" s="186"/>
      <c r="DN10" s="186"/>
      <c r="DO10" s="186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6"/>
      <c r="EP10" s="186"/>
      <c r="EQ10" s="186"/>
      <c r="ER10" s="186"/>
      <c r="ES10" s="186"/>
      <c r="ET10" s="186"/>
      <c r="EU10" s="186"/>
      <c r="EV10" s="186"/>
      <c r="EW10" s="186"/>
      <c r="EX10" s="186"/>
      <c r="EY10" s="186"/>
      <c r="EZ10" s="186"/>
      <c r="FA10" s="186"/>
      <c r="FB10" s="186"/>
      <c r="FC10" s="186"/>
      <c r="FD10" s="186"/>
      <c r="FE10" s="186"/>
      <c r="FF10" s="186"/>
      <c r="FG10" s="186"/>
      <c r="FH10" s="186"/>
      <c r="FI10" s="186"/>
      <c r="FJ10" s="186"/>
      <c r="FK10" s="186"/>
      <c r="FL10" s="186"/>
      <c r="FM10" s="186"/>
      <c r="FN10" s="186"/>
      <c r="FO10" s="186"/>
      <c r="FP10" s="186"/>
      <c r="FQ10" s="186"/>
      <c r="FR10" s="186"/>
      <c r="FS10" s="186"/>
      <c r="FT10" s="186"/>
      <c r="FU10" s="186"/>
      <c r="FV10" s="186"/>
      <c r="FW10" s="186"/>
      <c r="FX10" s="186"/>
      <c r="FY10" s="186"/>
      <c r="FZ10" s="186"/>
      <c r="GA10" s="186"/>
      <c r="GB10" s="186"/>
      <c r="GC10" s="186"/>
      <c r="GD10" s="186"/>
      <c r="GE10" s="186"/>
      <c r="GF10" s="186"/>
      <c r="GG10" s="186"/>
      <c r="GH10" s="186"/>
      <c r="GI10" s="186"/>
      <c r="GJ10" s="186"/>
      <c r="GK10" s="186"/>
      <c r="GL10" s="186"/>
      <c r="GM10" s="186"/>
      <c r="GN10" s="186"/>
      <c r="GO10" s="186"/>
      <c r="GP10" s="186"/>
      <c r="GQ10" s="186"/>
      <c r="GR10" s="186"/>
      <c r="GS10" s="186"/>
      <c r="GT10" s="186"/>
      <c r="GU10" s="186"/>
      <c r="GV10" s="186"/>
      <c r="GW10" s="186"/>
      <c r="GX10" s="186"/>
      <c r="GY10" s="186"/>
      <c r="GZ10" s="186"/>
      <c r="HA10" s="186"/>
      <c r="HB10" s="186"/>
      <c r="HC10" s="186"/>
      <c r="HD10" s="186"/>
      <c r="HE10" s="186"/>
      <c r="HF10" s="186"/>
      <c r="HG10" s="186"/>
      <c r="HH10" s="186"/>
      <c r="HI10" s="186"/>
      <c r="HJ10" s="186"/>
      <c r="HK10" s="186"/>
      <c r="HL10" s="186"/>
      <c r="HM10" s="186"/>
      <c r="HN10" s="186"/>
      <c r="HO10" s="186"/>
      <c r="HP10" s="186"/>
      <c r="HQ10" s="186"/>
      <c r="HR10" s="187"/>
    </row>
    <row r="11" ht="54.75" customHeight="1">
      <c r="A11" s="207"/>
      <c r="B11" t="s" s="214">
        <v>86</v>
      </c>
      <c r="C11" s="215"/>
      <c r="D11" s="215"/>
      <c r="E11" s="215"/>
      <c r="F11" s="219"/>
      <c r="G11" s="186"/>
      <c r="H11" s="186"/>
      <c r="I11" t="s" s="220">
        <v>87</v>
      </c>
      <c r="J11" s="221"/>
      <c r="K11" s="221"/>
      <c r="L11" s="221"/>
      <c r="M11" s="221"/>
      <c r="N11" s="221"/>
      <c r="O11" s="221"/>
      <c r="P11" s="222"/>
      <c r="Q11" s="186"/>
      <c r="R11" s="222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/>
      <c r="ER11" s="186"/>
      <c r="ES11" s="186"/>
      <c r="ET11" s="186"/>
      <c r="EU11" s="186"/>
      <c r="EV11" s="186"/>
      <c r="EW11" s="186"/>
      <c r="EX11" s="186"/>
      <c r="EY11" s="186"/>
      <c r="EZ11" s="186"/>
      <c r="FA11" s="186"/>
      <c r="FB11" s="186"/>
      <c r="FC11" s="186"/>
      <c r="FD11" s="186"/>
      <c r="FE11" s="186"/>
      <c r="FF11" s="186"/>
      <c r="FG11" s="186"/>
      <c r="FH11" s="186"/>
      <c r="FI11" s="186"/>
      <c r="FJ11" s="186"/>
      <c r="FK11" s="186"/>
      <c r="FL11" s="186"/>
      <c r="FM11" s="186"/>
      <c r="FN11" s="186"/>
      <c r="FO11" s="186"/>
      <c r="FP11" s="186"/>
      <c r="FQ11" s="186"/>
      <c r="FR11" s="186"/>
      <c r="FS11" s="186"/>
      <c r="FT11" s="186"/>
      <c r="FU11" s="186"/>
      <c r="FV11" s="186"/>
      <c r="FW11" s="186"/>
      <c r="FX11" s="186"/>
      <c r="FY11" s="186"/>
      <c r="FZ11" s="186"/>
      <c r="GA11" s="186"/>
      <c r="GB11" s="186"/>
      <c r="GC11" s="186"/>
      <c r="GD11" s="186"/>
      <c r="GE11" s="186"/>
      <c r="GF11" s="186"/>
      <c r="GG11" s="186"/>
      <c r="GH11" s="186"/>
      <c r="GI11" s="186"/>
      <c r="GJ11" s="186"/>
      <c r="GK11" s="186"/>
      <c r="GL11" s="186"/>
      <c r="GM11" s="186"/>
      <c r="GN11" s="186"/>
      <c r="GO11" s="186"/>
      <c r="GP11" s="186"/>
      <c r="GQ11" s="186"/>
      <c r="GR11" s="186"/>
      <c r="GS11" s="186"/>
      <c r="GT11" s="186"/>
      <c r="GU11" s="186"/>
      <c r="GV11" s="186"/>
      <c r="GW11" s="186"/>
      <c r="GX11" s="186"/>
      <c r="GY11" s="186"/>
      <c r="GZ11" s="186"/>
      <c r="HA11" s="186"/>
      <c r="HB11" s="186"/>
      <c r="HC11" s="186"/>
      <c r="HD11" s="186"/>
      <c r="HE11" s="186"/>
      <c r="HF11" s="186"/>
      <c r="HG11" s="186"/>
      <c r="HH11" s="186"/>
      <c r="HI11" s="186"/>
      <c r="HJ11" s="186"/>
      <c r="HK11" s="186"/>
      <c r="HL11" s="186"/>
      <c r="HM11" s="186"/>
      <c r="HN11" s="186"/>
      <c r="HO11" s="186"/>
      <c r="HP11" s="186"/>
      <c r="HQ11" s="186"/>
      <c r="HR11" s="187"/>
    </row>
    <row r="12" ht="54.75" customHeight="1">
      <c r="A12" s="207"/>
      <c r="B12" s="186"/>
      <c r="C12" s="215"/>
      <c r="D12" s="215"/>
      <c r="E12" s="215"/>
      <c r="F12" s="223"/>
      <c r="G12" s="186"/>
      <c r="H12" s="186"/>
      <c r="I12" t="s" s="220">
        <v>88</v>
      </c>
      <c r="J12" s="221"/>
      <c r="K12" s="221"/>
      <c r="L12" s="221"/>
      <c r="M12" s="221"/>
      <c r="N12" s="221"/>
      <c r="O12" s="221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87"/>
    </row>
    <row r="13" ht="54.75" customHeight="1">
      <c r="A13" s="207"/>
      <c r="B13" s="224"/>
      <c r="C13" s="224"/>
      <c r="D13" s="224"/>
      <c r="E13" s="224"/>
      <c r="F13" s="224"/>
      <c r="G13" s="186"/>
      <c r="H13" s="186"/>
      <c r="I13" s="225"/>
      <c r="J13" s="226"/>
      <c r="K13" s="226"/>
      <c r="L13" s="226"/>
      <c r="M13" s="226"/>
      <c r="N13" s="226"/>
      <c r="O13" s="226"/>
      <c r="P13" s="226"/>
      <c r="Q13" s="186"/>
      <c r="R13" s="222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6"/>
      <c r="EO13" s="186"/>
      <c r="EP13" s="186"/>
      <c r="EQ13" s="186"/>
      <c r="ER13" s="186"/>
      <c r="ES13" s="186"/>
      <c r="ET13" s="186"/>
      <c r="EU13" s="186"/>
      <c r="EV13" s="186"/>
      <c r="EW13" s="186"/>
      <c r="EX13" s="186"/>
      <c r="EY13" s="186"/>
      <c r="EZ13" s="186"/>
      <c r="FA13" s="186"/>
      <c r="FB13" s="186"/>
      <c r="FC13" s="186"/>
      <c r="FD13" s="186"/>
      <c r="FE13" s="186"/>
      <c r="FF13" s="186"/>
      <c r="FG13" s="186"/>
      <c r="FH13" s="186"/>
      <c r="FI13" s="186"/>
      <c r="FJ13" s="186"/>
      <c r="FK13" s="186"/>
      <c r="FL13" s="186"/>
      <c r="FM13" s="186"/>
      <c r="FN13" s="186"/>
      <c r="FO13" s="186"/>
      <c r="FP13" s="186"/>
      <c r="FQ13" s="186"/>
      <c r="FR13" s="186"/>
      <c r="FS13" s="186"/>
      <c r="FT13" s="186"/>
      <c r="FU13" s="186"/>
      <c r="FV13" s="186"/>
      <c r="FW13" s="186"/>
      <c r="FX13" s="186"/>
      <c r="FY13" s="186"/>
      <c r="FZ13" s="186"/>
      <c r="GA13" s="186"/>
      <c r="GB13" s="186"/>
      <c r="GC13" s="186"/>
      <c r="GD13" s="186"/>
      <c r="GE13" s="186"/>
      <c r="GF13" s="186"/>
      <c r="GG13" s="186"/>
      <c r="GH13" s="186"/>
      <c r="GI13" s="186"/>
      <c r="GJ13" s="186"/>
      <c r="GK13" s="186"/>
      <c r="GL13" s="186"/>
      <c r="GM13" s="186"/>
      <c r="GN13" s="186"/>
      <c r="GO13" s="186"/>
      <c r="GP13" s="186"/>
      <c r="GQ13" s="186"/>
      <c r="GR13" s="186"/>
      <c r="GS13" s="186"/>
      <c r="GT13" s="186"/>
      <c r="GU13" s="186"/>
      <c r="GV13" s="186"/>
      <c r="GW13" s="186"/>
      <c r="GX13" s="186"/>
      <c r="GY13" s="186"/>
      <c r="GZ13" s="186"/>
      <c r="HA13" s="186"/>
      <c r="HB13" s="186"/>
      <c r="HC13" s="186"/>
      <c r="HD13" s="186"/>
      <c r="HE13" s="186"/>
      <c r="HF13" s="186"/>
      <c r="HG13" s="186"/>
      <c r="HH13" s="186"/>
      <c r="HI13" s="186"/>
      <c r="HJ13" s="186"/>
      <c r="HK13" s="186"/>
      <c r="HL13" s="186"/>
      <c r="HM13" s="186"/>
      <c r="HN13" s="186"/>
      <c r="HO13" s="186"/>
      <c r="HP13" s="186"/>
      <c r="HQ13" s="186"/>
      <c r="HR13" s="187"/>
    </row>
    <row r="14" ht="54.75" customHeight="1">
      <c r="A14" s="191"/>
      <c r="B14" t="s" s="209">
        <v>89</v>
      </c>
      <c r="C14" s="210"/>
      <c r="D14" s="210"/>
      <c r="E14" s="210"/>
      <c r="F14" s="211"/>
      <c r="G14" s="195"/>
      <c r="H14" s="227"/>
      <c r="I14" t="s" s="228">
        <v>90</v>
      </c>
      <c r="J14" s="229"/>
      <c r="K14" s="229"/>
      <c r="L14" s="229"/>
      <c r="M14" s="229"/>
      <c r="N14" s="229"/>
      <c r="O14" s="229"/>
      <c r="P14" s="230"/>
      <c r="Q14" s="231"/>
      <c r="R14" s="222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/>
      <c r="EQ14" s="186"/>
      <c r="ER14" s="186"/>
      <c r="ES14" s="186"/>
      <c r="ET14" s="186"/>
      <c r="EU14" s="186"/>
      <c r="EV14" s="186"/>
      <c r="EW14" s="186"/>
      <c r="EX14" s="186"/>
      <c r="EY14" s="186"/>
      <c r="EZ14" s="186"/>
      <c r="FA14" s="186"/>
      <c r="FB14" s="186"/>
      <c r="FC14" s="186"/>
      <c r="FD14" s="186"/>
      <c r="FE14" s="186"/>
      <c r="FF14" s="186"/>
      <c r="FG14" s="186"/>
      <c r="FH14" s="186"/>
      <c r="FI14" s="186"/>
      <c r="FJ14" s="186"/>
      <c r="FK14" s="186"/>
      <c r="FL14" s="186"/>
      <c r="FM14" s="186"/>
      <c r="FN14" s="186"/>
      <c r="FO14" s="186"/>
      <c r="FP14" s="186"/>
      <c r="FQ14" s="186"/>
      <c r="FR14" s="186"/>
      <c r="FS14" s="186"/>
      <c r="FT14" s="186"/>
      <c r="FU14" s="186"/>
      <c r="FV14" s="186"/>
      <c r="FW14" s="186"/>
      <c r="FX14" s="186"/>
      <c r="FY14" s="186"/>
      <c r="FZ14" s="186"/>
      <c r="GA14" s="186"/>
      <c r="GB14" s="186"/>
      <c r="GC14" s="186"/>
      <c r="GD14" s="186"/>
      <c r="GE14" s="186"/>
      <c r="GF14" s="186"/>
      <c r="GG14" s="186"/>
      <c r="GH14" s="186"/>
      <c r="GI14" s="186"/>
      <c r="GJ14" s="186"/>
      <c r="GK14" s="186"/>
      <c r="GL14" s="186"/>
      <c r="GM14" s="186"/>
      <c r="GN14" s="186"/>
      <c r="GO14" s="186"/>
      <c r="GP14" s="186"/>
      <c r="GQ14" s="186"/>
      <c r="GR14" s="186"/>
      <c r="GS14" s="186"/>
      <c r="GT14" s="186"/>
      <c r="GU14" s="186"/>
      <c r="GV14" s="186"/>
      <c r="GW14" s="186"/>
      <c r="GX14" s="186"/>
      <c r="GY14" s="186"/>
      <c r="GZ14" s="186"/>
      <c r="HA14" s="186"/>
      <c r="HB14" s="186"/>
      <c r="HC14" s="186"/>
      <c r="HD14" s="186"/>
      <c r="HE14" s="186"/>
      <c r="HF14" s="186"/>
      <c r="HG14" s="186"/>
      <c r="HH14" s="186"/>
      <c r="HI14" s="186"/>
      <c r="HJ14" s="186"/>
      <c r="HK14" s="186"/>
      <c r="HL14" s="186"/>
      <c r="HM14" s="186"/>
      <c r="HN14" s="186"/>
      <c r="HO14" s="186"/>
      <c r="HP14" s="186"/>
      <c r="HQ14" s="186"/>
      <c r="HR14" s="187"/>
    </row>
    <row r="15" ht="54.75" customHeight="1">
      <c r="A15" s="207"/>
      <c r="B15" s="213"/>
      <c r="C15" s="213"/>
      <c r="D15" s="213"/>
      <c r="E15" s="213"/>
      <c r="F15" s="213"/>
      <c r="G15" s="186"/>
      <c r="H15" s="186"/>
      <c r="I15" s="190"/>
      <c r="J15" s="190"/>
      <c r="K15" s="190"/>
      <c r="L15" s="190"/>
      <c r="M15" s="190"/>
      <c r="N15" s="190"/>
      <c r="O15" s="190"/>
      <c r="P15" s="190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7"/>
    </row>
    <row r="16" ht="54.75" customHeight="1">
      <c r="A16" s="207"/>
      <c r="B16" t="s" s="220">
        <v>91</v>
      </c>
      <c r="C16" s="221"/>
      <c r="D16" s="221"/>
      <c r="E16" s="221"/>
      <c r="F16" s="232"/>
      <c r="G16" s="212"/>
      <c r="H16" s="186"/>
      <c r="I16" t="s" s="233">
        <v>92</v>
      </c>
      <c r="J16" s="234"/>
      <c r="K16" s="235"/>
      <c r="L16" t="s" s="233">
        <v>93</v>
      </c>
      <c r="M16" s="234"/>
      <c r="N16" s="235"/>
      <c r="O16" t="s" s="233">
        <v>94</v>
      </c>
      <c r="P16" s="234"/>
      <c r="Q16" s="186"/>
      <c r="R16" s="234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6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/>
      <c r="EB16" s="186"/>
      <c r="EC16" s="186"/>
      <c r="ED16" s="186"/>
      <c r="EE16" s="186"/>
      <c r="EF16" s="186"/>
      <c r="EG16" s="186"/>
      <c r="EH16" s="186"/>
      <c r="EI16" s="186"/>
      <c r="EJ16" s="186"/>
      <c r="EK16" s="186"/>
      <c r="EL16" s="186"/>
      <c r="EM16" s="186"/>
      <c r="EN16" s="186"/>
      <c r="EO16" s="186"/>
      <c r="EP16" s="186"/>
      <c r="EQ16" s="186"/>
      <c r="ER16" s="186"/>
      <c r="ES16" s="186"/>
      <c r="ET16" s="186"/>
      <c r="EU16" s="186"/>
      <c r="EV16" s="186"/>
      <c r="EW16" s="186"/>
      <c r="EX16" s="186"/>
      <c r="EY16" s="186"/>
      <c r="EZ16" s="186"/>
      <c r="FA16" s="186"/>
      <c r="FB16" s="186"/>
      <c r="FC16" s="186"/>
      <c r="FD16" s="186"/>
      <c r="FE16" s="186"/>
      <c r="FF16" s="186"/>
      <c r="FG16" s="186"/>
      <c r="FH16" s="186"/>
      <c r="FI16" s="186"/>
      <c r="FJ16" s="186"/>
      <c r="FK16" s="186"/>
      <c r="FL16" s="186"/>
      <c r="FM16" s="186"/>
      <c r="FN16" s="186"/>
      <c r="FO16" s="186"/>
      <c r="FP16" s="186"/>
      <c r="FQ16" s="186"/>
      <c r="FR16" s="186"/>
      <c r="FS16" s="186"/>
      <c r="FT16" s="186"/>
      <c r="FU16" s="186"/>
      <c r="FV16" s="186"/>
      <c r="FW16" s="186"/>
      <c r="FX16" s="186"/>
      <c r="FY16" s="186"/>
      <c r="FZ16" s="186"/>
      <c r="GA16" s="186"/>
      <c r="GB16" s="186"/>
      <c r="GC16" s="186"/>
      <c r="GD16" s="186"/>
      <c r="GE16" s="186"/>
      <c r="GF16" s="186"/>
      <c r="GG16" s="186"/>
      <c r="GH16" s="186"/>
      <c r="GI16" s="186"/>
      <c r="GJ16" s="186"/>
      <c r="GK16" s="186"/>
      <c r="GL16" s="186"/>
      <c r="GM16" s="186"/>
      <c r="GN16" s="186"/>
      <c r="GO16" s="186"/>
      <c r="GP16" s="186"/>
      <c r="GQ16" s="186"/>
      <c r="GR16" s="186"/>
      <c r="GS16" s="186"/>
      <c r="GT16" s="186"/>
      <c r="GU16" s="186"/>
      <c r="GV16" s="186"/>
      <c r="GW16" s="186"/>
      <c r="GX16" s="186"/>
      <c r="GY16" s="186"/>
      <c r="GZ16" s="186"/>
      <c r="HA16" s="186"/>
      <c r="HB16" s="186"/>
      <c r="HC16" s="186"/>
      <c r="HD16" s="186"/>
      <c r="HE16" s="186"/>
      <c r="HF16" s="186"/>
      <c r="HG16" s="186"/>
      <c r="HH16" s="186"/>
      <c r="HI16" s="186"/>
      <c r="HJ16" s="186"/>
      <c r="HK16" s="186"/>
      <c r="HL16" s="186"/>
      <c r="HM16" s="186"/>
      <c r="HN16" s="186"/>
      <c r="HO16" s="186"/>
      <c r="HP16" s="186"/>
      <c r="HQ16" s="186"/>
      <c r="HR16" s="187"/>
    </row>
    <row r="17" ht="54.75" customHeight="1">
      <c r="A17" s="207"/>
      <c r="B17" t="s" s="220">
        <v>95</v>
      </c>
      <c r="C17" s="221"/>
      <c r="D17" s="221"/>
      <c r="E17" s="221"/>
      <c r="F17" s="232"/>
      <c r="G17" s="212"/>
      <c r="H17" s="186"/>
      <c r="I17" t="s" s="233">
        <v>96</v>
      </c>
      <c r="J17" s="234"/>
      <c r="K17" s="234"/>
      <c r="L17" t="s" s="233">
        <v>97</v>
      </c>
      <c r="M17" s="234"/>
      <c r="N17" s="234"/>
      <c r="O17" t="s" s="233">
        <v>98</v>
      </c>
      <c r="P17" s="234"/>
      <c r="Q17" s="186"/>
      <c r="R17" s="234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  <c r="DM17" s="186"/>
      <c r="DN17" s="186"/>
      <c r="DO17" s="186"/>
      <c r="DP17" s="186"/>
      <c r="DQ17" s="186"/>
      <c r="DR17" s="186"/>
      <c r="DS17" s="186"/>
      <c r="DT17" s="186"/>
      <c r="DU17" s="186"/>
      <c r="DV17" s="186"/>
      <c r="DW17" s="186"/>
      <c r="DX17" s="186"/>
      <c r="DY17" s="186"/>
      <c r="DZ17" s="186"/>
      <c r="EA17" s="186"/>
      <c r="EB17" s="186"/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186"/>
      <c r="EU17" s="186"/>
      <c r="EV17" s="186"/>
      <c r="EW17" s="186"/>
      <c r="EX17" s="186"/>
      <c r="EY17" s="186"/>
      <c r="EZ17" s="186"/>
      <c r="FA17" s="186"/>
      <c r="FB17" s="186"/>
      <c r="FC17" s="186"/>
      <c r="FD17" s="186"/>
      <c r="FE17" s="186"/>
      <c r="FF17" s="186"/>
      <c r="FG17" s="186"/>
      <c r="FH17" s="186"/>
      <c r="FI17" s="186"/>
      <c r="FJ17" s="186"/>
      <c r="FK17" s="186"/>
      <c r="FL17" s="186"/>
      <c r="FM17" s="186"/>
      <c r="FN17" s="186"/>
      <c r="FO17" s="186"/>
      <c r="FP17" s="186"/>
      <c r="FQ17" s="186"/>
      <c r="FR17" s="186"/>
      <c r="FS17" s="186"/>
      <c r="FT17" s="186"/>
      <c r="FU17" s="186"/>
      <c r="FV17" s="186"/>
      <c r="FW17" s="186"/>
      <c r="FX17" s="186"/>
      <c r="FY17" s="186"/>
      <c r="FZ17" s="186"/>
      <c r="GA17" s="186"/>
      <c r="GB17" s="186"/>
      <c r="GC17" s="186"/>
      <c r="GD17" s="186"/>
      <c r="GE17" s="186"/>
      <c r="GF17" s="186"/>
      <c r="GG17" s="186"/>
      <c r="GH17" s="186"/>
      <c r="GI17" s="186"/>
      <c r="GJ17" s="186"/>
      <c r="GK17" s="186"/>
      <c r="GL17" s="186"/>
      <c r="GM17" s="186"/>
      <c r="GN17" s="186"/>
      <c r="GO17" s="186"/>
      <c r="GP17" s="186"/>
      <c r="GQ17" s="186"/>
      <c r="GR17" s="186"/>
      <c r="GS17" s="186"/>
      <c r="GT17" s="186"/>
      <c r="GU17" s="186"/>
      <c r="GV17" s="186"/>
      <c r="GW17" s="186"/>
      <c r="GX17" s="186"/>
      <c r="GY17" s="186"/>
      <c r="GZ17" s="186"/>
      <c r="HA17" s="186"/>
      <c r="HB17" s="186"/>
      <c r="HC17" s="186"/>
      <c r="HD17" s="186"/>
      <c r="HE17" s="186"/>
      <c r="HF17" s="186"/>
      <c r="HG17" s="186"/>
      <c r="HH17" s="186"/>
      <c r="HI17" s="186"/>
      <c r="HJ17" s="186"/>
      <c r="HK17" s="186"/>
      <c r="HL17" s="186"/>
      <c r="HM17" s="186"/>
      <c r="HN17" s="186"/>
      <c r="HO17" s="186"/>
      <c r="HP17" s="186"/>
      <c r="HQ17" s="186"/>
      <c r="HR17" s="187"/>
    </row>
    <row r="18" ht="54.75" customHeight="1">
      <c r="A18" s="207"/>
      <c r="B18" t="s" s="220">
        <v>99</v>
      </c>
      <c r="C18" s="221"/>
      <c r="D18" s="221"/>
      <c r="E18" s="221"/>
      <c r="F18" s="232"/>
      <c r="G18" s="186"/>
      <c r="H18" s="186"/>
      <c r="I18" t="s" s="214">
        <v>100</v>
      </c>
      <c r="J18" s="215"/>
      <c r="K18" s="236"/>
      <c r="L18" t="s" s="214">
        <v>101</v>
      </c>
      <c r="M18" s="215"/>
      <c r="N18" s="236"/>
      <c r="O18" t="s" s="214">
        <v>102</v>
      </c>
      <c r="P18" s="215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  <c r="DM18" s="186"/>
      <c r="DN18" s="186"/>
      <c r="DO18" s="186"/>
      <c r="DP18" s="186"/>
      <c r="DQ18" s="186"/>
      <c r="DR18" s="186"/>
      <c r="DS18" s="186"/>
      <c r="DT18" s="186"/>
      <c r="DU18" s="186"/>
      <c r="DV18" s="186"/>
      <c r="DW18" s="186"/>
      <c r="DX18" s="186"/>
      <c r="DY18" s="186"/>
      <c r="DZ18" s="186"/>
      <c r="EA18" s="186"/>
      <c r="EB18" s="186"/>
      <c r="EC18" s="186"/>
      <c r="ED18" s="186"/>
      <c r="EE18" s="186"/>
      <c r="EF18" s="186"/>
      <c r="EG18" s="186"/>
      <c r="EH18" s="186"/>
      <c r="EI18" s="186"/>
      <c r="EJ18" s="186"/>
      <c r="EK18" s="186"/>
      <c r="EL18" s="186"/>
      <c r="EM18" s="186"/>
      <c r="EN18" s="186"/>
      <c r="EO18" s="186"/>
      <c r="EP18" s="186"/>
      <c r="EQ18" s="186"/>
      <c r="ER18" s="186"/>
      <c r="ES18" s="186"/>
      <c r="ET18" s="186"/>
      <c r="EU18" s="186"/>
      <c r="EV18" s="186"/>
      <c r="EW18" s="186"/>
      <c r="EX18" s="186"/>
      <c r="EY18" s="186"/>
      <c r="EZ18" s="186"/>
      <c r="FA18" s="186"/>
      <c r="FB18" s="186"/>
      <c r="FC18" s="186"/>
      <c r="FD18" s="186"/>
      <c r="FE18" s="186"/>
      <c r="FF18" s="186"/>
      <c r="FG18" s="186"/>
      <c r="FH18" s="186"/>
      <c r="FI18" s="186"/>
      <c r="FJ18" s="186"/>
      <c r="FK18" s="186"/>
      <c r="FL18" s="186"/>
      <c r="FM18" s="186"/>
      <c r="FN18" s="186"/>
      <c r="FO18" s="186"/>
      <c r="FP18" s="186"/>
      <c r="FQ18" s="186"/>
      <c r="FR18" s="186"/>
      <c r="FS18" s="186"/>
      <c r="FT18" s="186"/>
      <c r="FU18" s="186"/>
      <c r="FV18" s="186"/>
      <c r="FW18" s="186"/>
      <c r="FX18" s="186"/>
      <c r="FY18" s="186"/>
      <c r="FZ18" s="186"/>
      <c r="GA18" s="186"/>
      <c r="GB18" s="186"/>
      <c r="GC18" s="186"/>
      <c r="GD18" s="186"/>
      <c r="GE18" s="186"/>
      <c r="GF18" s="186"/>
      <c r="GG18" s="186"/>
      <c r="GH18" s="186"/>
      <c r="GI18" s="186"/>
      <c r="GJ18" s="186"/>
      <c r="GK18" s="186"/>
      <c r="GL18" s="186"/>
      <c r="GM18" s="186"/>
      <c r="GN18" s="186"/>
      <c r="GO18" s="186"/>
      <c r="GP18" s="186"/>
      <c r="GQ18" s="186"/>
      <c r="GR18" s="186"/>
      <c r="GS18" s="186"/>
      <c r="GT18" s="186"/>
      <c r="GU18" s="186"/>
      <c r="GV18" s="186"/>
      <c r="GW18" s="186"/>
      <c r="GX18" s="186"/>
      <c r="GY18" s="186"/>
      <c r="GZ18" s="186"/>
      <c r="HA18" s="186"/>
      <c r="HB18" s="186"/>
      <c r="HC18" s="186"/>
      <c r="HD18" s="186"/>
      <c r="HE18" s="186"/>
      <c r="HF18" s="186"/>
      <c r="HG18" s="186"/>
      <c r="HH18" s="186"/>
      <c r="HI18" s="186"/>
      <c r="HJ18" s="186"/>
      <c r="HK18" s="186"/>
      <c r="HL18" s="186"/>
      <c r="HM18" s="186"/>
      <c r="HN18" s="186"/>
      <c r="HO18" s="186"/>
      <c r="HP18" s="186"/>
      <c r="HQ18" s="186"/>
      <c r="HR18" s="187"/>
    </row>
    <row r="19" ht="54.75" customHeight="1">
      <c r="A19" s="207"/>
      <c r="B19" t="s" s="220">
        <v>103</v>
      </c>
      <c r="C19" s="221"/>
      <c r="D19" s="221"/>
      <c r="E19" s="221"/>
      <c r="F19" s="237"/>
      <c r="G19" s="186"/>
      <c r="H19" s="186"/>
      <c r="I19" t="s" s="214">
        <v>104</v>
      </c>
      <c r="J19" s="215"/>
      <c r="K19" s="236"/>
      <c r="L19" t="s" s="214">
        <v>105</v>
      </c>
      <c r="M19" s="215"/>
      <c r="N19" s="236"/>
      <c r="O19" t="s" s="214">
        <v>106</v>
      </c>
      <c r="P19" s="215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  <c r="DM19" s="186"/>
      <c r="DN19" s="186"/>
      <c r="DO19" s="186"/>
      <c r="DP19" s="186"/>
      <c r="DQ19" s="186"/>
      <c r="DR19" s="186"/>
      <c r="DS19" s="186"/>
      <c r="DT19" s="186"/>
      <c r="DU19" s="186"/>
      <c r="DV19" s="186"/>
      <c r="DW19" s="186"/>
      <c r="DX19" s="186"/>
      <c r="DY19" s="186"/>
      <c r="DZ19" s="186"/>
      <c r="EA19" s="186"/>
      <c r="EB19" s="186"/>
      <c r="EC19" s="186"/>
      <c r="ED19" s="186"/>
      <c r="EE19" s="186"/>
      <c r="EF19" s="186"/>
      <c r="EG19" s="186"/>
      <c r="EH19" s="186"/>
      <c r="EI19" s="186"/>
      <c r="EJ19" s="186"/>
      <c r="EK19" s="186"/>
      <c r="EL19" s="186"/>
      <c r="EM19" s="186"/>
      <c r="EN19" s="186"/>
      <c r="EO19" s="186"/>
      <c r="EP19" s="186"/>
      <c r="EQ19" s="186"/>
      <c r="ER19" s="186"/>
      <c r="ES19" s="186"/>
      <c r="ET19" s="186"/>
      <c r="EU19" s="186"/>
      <c r="EV19" s="186"/>
      <c r="EW19" s="186"/>
      <c r="EX19" s="186"/>
      <c r="EY19" s="186"/>
      <c r="EZ19" s="186"/>
      <c r="FA19" s="186"/>
      <c r="FB19" s="186"/>
      <c r="FC19" s="186"/>
      <c r="FD19" s="186"/>
      <c r="FE19" s="186"/>
      <c r="FF19" s="186"/>
      <c r="FG19" s="186"/>
      <c r="FH19" s="186"/>
      <c r="FI19" s="186"/>
      <c r="FJ19" s="186"/>
      <c r="FK19" s="186"/>
      <c r="FL19" s="186"/>
      <c r="FM19" s="186"/>
      <c r="FN19" s="186"/>
      <c r="FO19" s="186"/>
      <c r="FP19" s="186"/>
      <c r="FQ19" s="186"/>
      <c r="FR19" s="186"/>
      <c r="FS19" s="186"/>
      <c r="FT19" s="186"/>
      <c r="FU19" s="186"/>
      <c r="FV19" s="186"/>
      <c r="FW19" s="186"/>
      <c r="FX19" s="186"/>
      <c r="FY19" s="186"/>
      <c r="FZ19" s="186"/>
      <c r="GA19" s="186"/>
      <c r="GB19" s="186"/>
      <c r="GC19" s="186"/>
      <c r="GD19" s="186"/>
      <c r="GE19" s="186"/>
      <c r="GF19" s="186"/>
      <c r="GG19" s="186"/>
      <c r="GH19" s="186"/>
      <c r="GI19" s="186"/>
      <c r="GJ19" s="186"/>
      <c r="GK19" s="186"/>
      <c r="GL19" s="186"/>
      <c r="GM19" s="186"/>
      <c r="GN19" s="186"/>
      <c r="GO19" s="186"/>
      <c r="GP19" s="186"/>
      <c r="GQ19" s="186"/>
      <c r="GR19" s="186"/>
      <c r="GS19" s="186"/>
      <c r="GT19" s="186"/>
      <c r="GU19" s="186"/>
      <c r="GV19" s="186"/>
      <c r="GW19" s="186"/>
      <c r="GX19" s="186"/>
      <c r="GY19" s="186"/>
      <c r="GZ19" s="186"/>
      <c r="HA19" s="186"/>
      <c r="HB19" s="186"/>
      <c r="HC19" s="186"/>
      <c r="HD19" s="186"/>
      <c r="HE19" s="186"/>
      <c r="HF19" s="186"/>
      <c r="HG19" s="186"/>
      <c r="HH19" s="186"/>
      <c r="HI19" s="186"/>
      <c r="HJ19" s="186"/>
      <c r="HK19" s="186"/>
      <c r="HL19" s="186"/>
      <c r="HM19" s="186"/>
      <c r="HN19" s="186"/>
      <c r="HO19" s="186"/>
      <c r="HP19" s="186"/>
      <c r="HQ19" s="186"/>
      <c r="HR19" s="187"/>
    </row>
    <row r="20" ht="54.75" customHeight="1">
      <c r="A20" s="207"/>
      <c r="B20" t="s" s="220">
        <v>107</v>
      </c>
      <c r="C20" s="221"/>
      <c r="D20" s="221"/>
      <c r="E20" s="221"/>
      <c r="F20" s="232"/>
      <c r="G20" s="186"/>
      <c r="H20" s="186"/>
      <c r="I20" t="s" s="214">
        <v>108</v>
      </c>
      <c r="J20" s="215"/>
      <c r="K20" s="236"/>
      <c r="L20" t="s" s="214">
        <v>109</v>
      </c>
      <c r="M20" s="215"/>
      <c r="N20" s="236"/>
      <c r="O20" t="s" s="214">
        <v>110</v>
      </c>
      <c r="P20" s="215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  <c r="DM20" s="186"/>
      <c r="DN20" s="186"/>
      <c r="DO20" s="186"/>
      <c r="DP20" s="186"/>
      <c r="DQ20" s="186"/>
      <c r="DR20" s="186"/>
      <c r="DS20" s="186"/>
      <c r="DT20" s="186"/>
      <c r="DU20" s="186"/>
      <c r="DV20" s="186"/>
      <c r="DW20" s="186"/>
      <c r="DX20" s="186"/>
      <c r="DY20" s="186"/>
      <c r="DZ20" s="186"/>
      <c r="EA20" s="186"/>
      <c r="EB20" s="186"/>
      <c r="EC20" s="186"/>
      <c r="ED20" s="186"/>
      <c r="EE20" s="186"/>
      <c r="EF20" s="186"/>
      <c r="EG20" s="186"/>
      <c r="EH20" s="186"/>
      <c r="EI20" s="186"/>
      <c r="EJ20" s="186"/>
      <c r="EK20" s="186"/>
      <c r="EL20" s="186"/>
      <c r="EM20" s="186"/>
      <c r="EN20" s="186"/>
      <c r="EO20" s="186"/>
      <c r="EP20" s="186"/>
      <c r="EQ20" s="186"/>
      <c r="ER20" s="186"/>
      <c r="ES20" s="186"/>
      <c r="ET20" s="186"/>
      <c r="EU20" s="186"/>
      <c r="EV20" s="186"/>
      <c r="EW20" s="186"/>
      <c r="EX20" s="186"/>
      <c r="EY20" s="186"/>
      <c r="EZ20" s="186"/>
      <c r="FA20" s="186"/>
      <c r="FB20" s="186"/>
      <c r="FC20" s="186"/>
      <c r="FD20" s="186"/>
      <c r="FE20" s="186"/>
      <c r="FF20" s="186"/>
      <c r="FG20" s="186"/>
      <c r="FH20" s="186"/>
      <c r="FI20" s="186"/>
      <c r="FJ20" s="186"/>
      <c r="FK20" s="186"/>
      <c r="FL20" s="186"/>
      <c r="FM20" s="186"/>
      <c r="FN20" s="186"/>
      <c r="FO20" s="186"/>
      <c r="FP20" s="186"/>
      <c r="FQ20" s="186"/>
      <c r="FR20" s="186"/>
      <c r="FS20" s="186"/>
      <c r="FT20" s="186"/>
      <c r="FU20" s="186"/>
      <c r="FV20" s="186"/>
      <c r="FW20" s="186"/>
      <c r="FX20" s="186"/>
      <c r="FY20" s="186"/>
      <c r="FZ20" s="186"/>
      <c r="GA20" s="186"/>
      <c r="GB20" s="186"/>
      <c r="GC20" s="186"/>
      <c r="GD20" s="186"/>
      <c r="GE20" s="186"/>
      <c r="GF20" s="186"/>
      <c r="GG20" s="186"/>
      <c r="GH20" s="186"/>
      <c r="GI20" s="186"/>
      <c r="GJ20" s="186"/>
      <c r="GK20" s="186"/>
      <c r="GL20" s="186"/>
      <c r="GM20" s="186"/>
      <c r="GN20" s="186"/>
      <c r="GO20" s="186"/>
      <c r="GP20" s="186"/>
      <c r="GQ20" s="186"/>
      <c r="GR20" s="186"/>
      <c r="GS20" s="186"/>
      <c r="GT20" s="186"/>
      <c r="GU20" s="186"/>
      <c r="GV20" s="186"/>
      <c r="GW20" s="186"/>
      <c r="GX20" s="186"/>
      <c r="GY20" s="186"/>
      <c r="GZ20" s="186"/>
      <c r="HA20" s="186"/>
      <c r="HB20" s="186"/>
      <c r="HC20" s="186"/>
      <c r="HD20" s="186"/>
      <c r="HE20" s="186"/>
      <c r="HF20" s="186"/>
      <c r="HG20" s="186"/>
      <c r="HH20" s="186"/>
      <c r="HI20" s="186"/>
      <c r="HJ20" s="186"/>
      <c r="HK20" s="186"/>
      <c r="HL20" s="186"/>
      <c r="HM20" s="186"/>
      <c r="HN20" s="186"/>
      <c r="HO20" s="186"/>
      <c r="HP20" s="186"/>
      <c r="HQ20" s="186"/>
      <c r="HR20" s="187"/>
    </row>
    <row r="21" ht="54.75" customHeight="1">
      <c r="A21" s="207"/>
      <c r="B21" s="186"/>
      <c r="C21" s="186"/>
      <c r="D21" s="186"/>
      <c r="E21" s="186"/>
      <c r="F21" s="186"/>
      <c r="G21" s="186"/>
      <c r="H21" s="186"/>
      <c r="I21" t="s" s="214">
        <v>111</v>
      </c>
      <c r="J21" s="215"/>
      <c r="K21" s="236"/>
      <c r="L21" t="s" s="214">
        <v>112</v>
      </c>
      <c r="M21" s="215"/>
      <c r="N21" s="236"/>
      <c r="O21" t="s" s="214">
        <v>113</v>
      </c>
      <c r="P21" s="215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  <c r="EY21" s="186"/>
      <c r="EZ21" s="186"/>
      <c r="FA21" s="186"/>
      <c r="FB21" s="186"/>
      <c r="FC21" s="186"/>
      <c r="FD21" s="186"/>
      <c r="FE21" s="186"/>
      <c r="FF21" s="186"/>
      <c r="FG21" s="186"/>
      <c r="FH21" s="186"/>
      <c r="FI21" s="186"/>
      <c r="FJ21" s="186"/>
      <c r="FK21" s="186"/>
      <c r="FL21" s="186"/>
      <c r="FM21" s="186"/>
      <c r="FN21" s="186"/>
      <c r="FO21" s="186"/>
      <c r="FP21" s="186"/>
      <c r="FQ21" s="186"/>
      <c r="FR21" s="186"/>
      <c r="FS21" s="186"/>
      <c r="FT21" s="186"/>
      <c r="FU21" s="186"/>
      <c r="FV21" s="186"/>
      <c r="FW21" s="186"/>
      <c r="FX21" s="186"/>
      <c r="FY21" s="186"/>
      <c r="FZ21" s="186"/>
      <c r="GA21" s="186"/>
      <c r="GB21" s="186"/>
      <c r="GC21" s="186"/>
      <c r="GD21" s="186"/>
      <c r="GE21" s="186"/>
      <c r="GF21" s="186"/>
      <c r="GG21" s="186"/>
      <c r="GH21" s="186"/>
      <c r="GI21" s="186"/>
      <c r="GJ21" s="186"/>
      <c r="GK21" s="186"/>
      <c r="GL21" s="186"/>
      <c r="GM21" s="186"/>
      <c r="GN21" s="186"/>
      <c r="GO21" s="186"/>
      <c r="GP21" s="186"/>
      <c r="GQ21" s="186"/>
      <c r="GR21" s="186"/>
      <c r="GS21" s="186"/>
      <c r="GT21" s="186"/>
      <c r="GU21" s="186"/>
      <c r="GV21" s="186"/>
      <c r="GW21" s="186"/>
      <c r="GX21" s="186"/>
      <c r="GY21" s="186"/>
      <c r="GZ21" s="186"/>
      <c r="HA21" s="186"/>
      <c r="HB21" s="186"/>
      <c r="HC21" s="186"/>
      <c r="HD21" s="186"/>
      <c r="HE21" s="186"/>
      <c r="HF21" s="186"/>
      <c r="HG21" s="186"/>
      <c r="HH21" s="186"/>
      <c r="HI21" s="186"/>
      <c r="HJ21" s="186"/>
      <c r="HK21" s="186"/>
      <c r="HL21" s="186"/>
      <c r="HM21" s="186"/>
      <c r="HN21" s="186"/>
      <c r="HO21" s="186"/>
      <c r="HP21" s="186"/>
      <c r="HQ21" s="186"/>
      <c r="HR21" s="187"/>
    </row>
    <row r="22" ht="54.75" customHeight="1">
      <c r="A22" s="207"/>
      <c r="B22" s="186"/>
      <c r="C22" s="186"/>
      <c r="D22" s="186"/>
      <c r="E22" s="186"/>
      <c r="F22" s="186"/>
      <c r="G22" s="186"/>
      <c r="H22" s="186"/>
      <c r="I22" t="s" s="214">
        <v>114</v>
      </c>
      <c r="J22" s="215"/>
      <c r="K22" s="236"/>
      <c r="L22" t="s" s="214">
        <v>115</v>
      </c>
      <c r="M22" s="215"/>
      <c r="N22" s="238"/>
      <c r="O22" t="s" s="214">
        <v>116</v>
      </c>
      <c r="P22" s="215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  <c r="DM22" s="186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186"/>
      <c r="EU22" s="186"/>
      <c r="EV22" s="186"/>
      <c r="EW22" s="186"/>
      <c r="EX22" s="186"/>
      <c r="EY22" s="186"/>
      <c r="EZ22" s="186"/>
      <c r="FA22" s="186"/>
      <c r="FB22" s="186"/>
      <c r="FC22" s="186"/>
      <c r="FD22" s="186"/>
      <c r="FE22" s="186"/>
      <c r="FF22" s="186"/>
      <c r="FG22" s="186"/>
      <c r="FH22" s="186"/>
      <c r="FI22" s="186"/>
      <c r="FJ22" s="186"/>
      <c r="FK22" s="186"/>
      <c r="FL22" s="186"/>
      <c r="FM22" s="186"/>
      <c r="FN22" s="186"/>
      <c r="FO22" s="186"/>
      <c r="FP22" s="186"/>
      <c r="FQ22" s="186"/>
      <c r="FR22" s="186"/>
      <c r="FS22" s="186"/>
      <c r="FT22" s="186"/>
      <c r="FU22" s="186"/>
      <c r="FV22" s="186"/>
      <c r="FW22" s="186"/>
      <c r="FX22" s="186"/>
      <c r="FY22" s="186"/>
      <c r="FZ22" s="186"/>
      <c r="GA22" s="186"/>
      <c r="GB22" s="186"/>
      <c r="GC22" s="186"/>
      <c r="GD22" s="186"/>
      <c r="GE22" s="186"/>
      <c r="GF22" s="186"/>
      <c r="GG22" s="186"/>
      <c r="GH22" s="186"/>
      <c r="GI22" s="186"/>
      <c r="GJ22" s="186"/>
      <c r="GK22" s="186"/>
      <c r="GL22" s="186"/>
      <c r="GM22" s="186"/>
      <c r="GN22" s="186"/>
      <c r="GO22" s="186"/>
      <c r="GP22" s="186"/>
      <c r="GQ22" s="186"/>
      <c r="GR22" s="186"/>
      <c r="GS22" s="186"/>
      <c r="GT22" s="186"/>
      <c r="GU22" s="186"/>
      <c r="GV22" s="186"/>
      <c r="GW22" s="186"/>
      <c r="GX22" s="186"/>
      <c r="GY22" s="186"/>
      <c r="GZ22" s="186"/>
      <c r="HA22" s="186"/>
      <c r="HB22" s="186"/>
      <c r="HC22" s="186"/>
      <c r="HD22" s="186"/>
      <c r="HE22" s="186"/>
      <c r="HF22" s="186"/>
      <c r="HG22" s="186"/>
      <c r="HH22" s="186"/>
      <c r="HI22" s="186"/>
      <c r="HJ22" s="186"/>
      <c r="HK22" s="186"/>
      <c r="HL22" s="186"/>
      <c r="HM22" s="186"/>
      <c r="HN22" s="186"/>
      <c r="HO22" s="186"/>
      <c r="HP22" s="186"/>
      <c r="HQ22" s="186"/>
      <c r="HR22" s="187"/>
    </row>
    <row r="23" ht="54.75" customHeight="1">
      <c r="A23" s="207"/>
      <c r="B23" s="186"/>
      <c r="C23" s="186"/>
      <c r="D23" s="186"/>
      <c r="E23" s="186"/>
      <c r="F23" s="186"/>
      <c r="G23" s="186"/>
      <c r="H23" s="186"/>
      <c r="I23" s="186"/>
      <c r="J23" s="186"/>
      <c r="K23" s="236"/>
      <c r="L23" t="s" s="214">
        <v>117</v>
      </c>
      <c r="M23" s="215"/>
      <c r="N23" s="236"/>
      <c r="O23" t="s" s="214">
        <v>118</v>
      </c>
      <c r="P23" s="215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  <c r="DM23" s="186"/>
      <c r="DN23" s="186"/>
      <c r="DO23" s="186"/>
      <c r="DP23" s="186"/>
      <c r="DQ23" s="186"/>
      <c r="DR23" s="186"/>
      <c r="DS23" s="186"/>
      <c r="DT23" s="186"/>
      <c r="DU23" s="186"/>
      <c r="DV23" s="186"/>
      <c r="DW23" s="186"/>
      <c r="DX23" s="186"/>
      <c r="DY23" s="186"/>
      <c r="DZ23" s="186"/>
      <c r="EA23" s="186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  <c r="EY23" s="186"/>
      <c r="EZ23" s="186"/>
      <c r="FA23" s="186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  <c r="GR23" s="186"/>
      <c r="GS23" s="186"/>
      <c r="GT23" s="186"/>
      <c r="GU23" s="186"/>
      <c r="GV23" s="186"/>
      <c r="GW23" s="186"/>
      <c r="GX23" s="186"/>
      <c r="GY23" s="186"/>
      <c r="GZ23" s="186"/>
      <c r="HA23" s="186"/>
      <c r="HB23" s="186"/>
      <c r="HC23" s="186"/>
      <c r="HD23" s="186"/>
      <c r="HE23" s="186"/>
      <c r="HF23" s="186"/>
      <c r="HG23" s="186"/>
      <c r="HH23" s="186"/>
      <c r="HI23" s="186"/>
      <c r="HJ23" s="186"/>
      <c r="HK23" s="186"/>
      <c r="HL23" s="186"/>
      <c r="HM23" s="186"/>
      <c r="HN23" s="186"/>
      <c r="HO23" s="186"/>
      <c r="HP23" s="186"/>
      <c r="HQ23" s="186"/>
      <c r="HR23" s="187"/>
    </row>
    <row r="24" ht="54.75" customHeight="1">
      <c r="A24" s="207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t="s" s="214">
        <v>119</v>
      </c>
      <c r="M24" s="215"/>
      <c r="N24" s="236"/>
      <c r="O24" s="23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  <c r="EY24" s="186"/>
      <c r="EZ24" s="186"/>
      <c r="FA24" s="186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6"/>
      <c r="FM24" s="186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/>
      <c r="GE24" s="186"/>
      <c r="GF24" s="186"/>
      <c r="GG24" s="186"/>
      <c r="GH24" s="186"/>
      <c r="GI24" s="186"/>
      <c r="GJ24" s="186"/>
      <c r="GK24" s="186"/>
      <c r="GL24" s="186"/>
      <c r="GM24" s="186"/>
      <c r="GN24" s="186"/>
      <c r="GO24" s="186"/>
      <c r="GP24" s="186"/>
      <c r="GQ24" s="186"/>
      <c r="GR24" s="186"/>
      <c r="GS24" s="186"/>
      <c r="GT24" s="186"/>
      <c r="GU24" s="186"/>
      <c r="GV24" s="186"/>
      <c r="GW24" s="186"/>
      <c r="GX24" s="186"/>
      <c r="GY24" s="186"/>
      <c r="GZ24" s="186"/>
      <c r="HA24" s="186"/>
      <c r="HB24" s="186"/>
      <c r="HC24" s="186"/>
      <c r="HD24" s="186"/>
      <c r="HE24" s="186"/>
      <c r="HF24" s="186"/>
      <c r="HG24" s="186"/>
      <c r="HH24" s="186"/>
      <c r="HI24" s="186"/>
      <c r="HJ24" s="186"/>
      <c r="HK24" s="186"/>
      <c r="HL24" s="186"/>
      <c r="HM24" s="186"/>
      <c r="HN24" s="186"/>
      <c r="HO24" s="186"/>
      <c r="HP24" s="186"/>
      <c r="HQ24" s="186"/>
      <c r="HR24" s="187"/>
    </row>
    <row r="25" ht="54.75" customHeight="1">
      <c r="A25" s="207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239"/>
      <c r="N25" s="239"/>
      <c r="O25" s="239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/>
      <c r="DT25" s="186"/>
      <c r="DU25" s="186"/>
      <c r="DV25" s="186"/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  <c r="EY25" s="186"/>
      <c r="EZ25" s="186"/>
      <c r="FA25" s="186"/>
      <c r="FB25" s="186"/>
      <c r="FC25" s="186"/>
      <c r="FD25" s="186"/>
      <c r="FE25" s="186"/>
      <c r="FF25" s="186"/>
      <c r="FG25" s="186"/>
      <c r="FH25" s="186"/>
      <c r="FI25" s="186"/>
      <c r="FJ25" s="186"/>
      <c r="FK25" s="186"/>
      <c r="FL25" s="186"/>
      <c r="FM25" s="186"/>
      <c r="FN25" s="186"/>
      <c r="FO25" s="186"/>
      <c r="FP25" s="186"/>
      <c r="FQ25" s="186"/>
      <c r="FR25" s="186"/>
      <c r="FS25" s="186"/>
      <c r="FT25" s="186"/>
      <c r="FU25" s="186"/>
      <c r="FV25" s="186"/>
      <c r="FW25" s="186"/>
      <c r="FX25" s="186"/>
      <c r="FY25" s="186"/>
      <c r="FZ25" s="186"/>
      <c r="GA25" s="186"/>
      <c r="GB25" s="186"/>
      <c r="GC25" s="186"/>
      <c r="GD25" s="186"/>
      <c r="GE25" s="186"/>
      <c r="GF25" s="186"/>
      <c r="GG25" s="186"/>
      <c r="GH25" s="186"/>
      <c r="GI25" s="186"/>
      <c r="GJ25" s="186"/>
      <c r="GK25" s="186"/>
      <c r="GL25" s="186"/>
      <c r="GM25" s="186"/>
      <c r="GN25" s="186"/>
      <c r="GO25" s="186"/>
      <c r="GP25" s="186"/>
      <c r="GQ25" s="186"/>
      <c r="GR25" s="186"/>
      <c r="GS25" s="186"/>
      <c r="GT25" s="186"/>
      <c r="GU25" s="186"/>
      <c r="GV25" s="186"/>
      <c r="GW25" s="186"/>
      <c r="GX25" s="186"/>
      <c r="GY25" s="186"/>
      <c r="GZ25" s="186"/>
      <c r="HA25" s="186"/>
      <c r="HB25" s="186"/>
      <c r="HC25" s="186"/>
      <c r="HD25" s="186"/>
      <c r="HE25" s="186"/>
      <c r="HF25" s="186"/>
      <c r="HG25" s="186"/>
      <c r="HH25" s="186"/>
      <c r="HI25" s="186"/>
      <c r="HJ25" s="186"/>
      <c r="HK25" s="186"/>
      <c r="HL25" s="186"/>
      <c r="HM25" s="186"/>
      <c r="HN25" s="186"/>
      <c r="HO25" s="186"/>
      <c r="HP25" s="186"/>
      <c r="HQ25" s="186"/>
      <c r="HR25" s="187"/>
    </row>
    <row r="26" ht="54.75" customHeight="1">
      <c r="A26" s="207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  <c r="DM26" s="186"/>
      <c r="DN26" s="186"/>
      <c r="DO26" s="186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186"/>
      <c r="FI26" s="186"/>
      <c r="FJ26" s="186"/>
      <c r="FK26" s="186"/>
      <c r="FL26" s="186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86"/>
      <c r="GA26" s="186"/>
      <c r="GB26" s="186"/>
      <c r="GC26" s="186"/>
      <c r="GD26" s="186"/>
      <c r="GE26" s="186"/>
      <c r="GF26" s="186"/>
      <c r="GG26" s="186"/>
      <c r="GH26" s="186"/>
      <c r="GI26" s="186"/>
      <c r="GJ26" s="186"/>
      <c r="GK26" s="186"/>
      <c r="GL26" s="186"/>
      <c r="GM26" s="186"/>
      <c r="GN26" s="186"/>
      <c r="GO26" s="186"/>
      <c r="GP26" s="186"/>
      <c r="GQ26" s="186"/>
      <c r="GR26" s="186"/>
      <c r="GS26" s="186"/>
      <c r="GT26" s="186"/>
      <c r="GU26" s="186"/>
      <c r="GV26" s="186"/>
      <c r="GW26" s="186"/>
      <c r="GX26" s="186"/>
      <c r="GY26" s="186"/>
      <c r="GZ26" s="186"/>
      <c r="HA26" s="186"/>
      <c r="HB26" s="186"/>
      <c r="HC26" s="186"/>
      <c r="HD26" s="186"/>
      <c r="HE26" s="186"/>
      <c r="HF26" s="186"/>
      <c r="HG26" s="186"/>
      <c r="HH26" s="186"/>
      <c r="HI26" s="186"/>
      <c r="HJ26" s="186"/>
      <c r="HK26" s="186"/>
      <c r="HL26" s="186"/>
      <c r="HM26" s="186"/>
      <c r="HN26" s="186"/>
      <c r="HO26" s="186"/>
      <c r="HP26" s="186"/>
      <c r="HQ26" s="186"/>
      <c r="HR26" s="187"/>
    </row>
    <row r="27" ht="54.75" customHeight="1">
      <c r="A27" s="240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7"/>
    </row>
    <row r="28" ht="54.75" customHeight="1">
      <c r="A28" t="s" s="241">
        <v>120</v>
      </c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3"/>
      <c r="Q28" s="244"/>
      <c r="R28" s="245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7"/>
    </row>
    <row r="29" ht="24.75" customHeight="1">
      <c r="A29" t="s" s="246">
        <v>121</v>
      </c>
      <c r="B29" s="247"/>
      <c r="C29" s="248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50"/>
      <c r="R29" s="250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7"/>
    </row>
    <row r="30" ht="21" customHeight="1">
      <c r="A30" t="s" s="251">
        <v>122</v>
      </c>
      <c r="B30" s="252"/>
      <c r="C30" s="253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0"/>
      <c r="R30" s="250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  <c r="DM30" s="186"/>
      <c r="DN30" s="186"/>
      <c r="DO30" s="186"/>
      <c r="DP30" s="186"/>
      <c r="DQ30" s="186"/>
      <c r="DR30" s="186"/>
      <c r="DS30" s="186"/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  <c r="EY30" s="186"/>
      <c r="EZ30" s="186"/>
      <c r="FA30" s="186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  <c r="GR30" s="186"/>
      <c r="GS30" s="186"/>
      <c r="GT30" s="186"/>
      <c r="GU30" s="186"/>
      <c r="GV30" s="186"/>
      <c r="GW30" s="186"/>
      <c r="GX30" s="186"/>
      <c r="GY30" s="186"/>
      <c r="GZ30" s="186"/>
      <c r="HA30" s="186"/>
      <c r="HB30" s="186"/>
      <c r="HC30" s="186"/>
      <c r="HD30" s="186"/>
      <c r="HE30" s="186"/>
      <c r="HF30" s="186"/>
      <c r="HG30" s="186"/>
      <c r="HH30" s="186"/>
      <c r="HI30" s="186"/>
      <c r="HJ30" s="186"/>
      <c r="HK30" s="186"/>
      <c r="HL30" s="186"/>
      <c r="HM30" s="186"/>
      <c r="HN30" s="186"/>
      <c r="HO30" s="186"/>
      <c r="HP30" s="186"/>
      <c r="HQ30" s="186"/>
      <c r="HR30" s="187"/>
    </row>
    <row r="31" ht="24" customHeight="1">
      <c r="A31" t="s" s="251">
        <v>123</v>
      </c>
      <c r="B31" s="252"/>
      <c r="C31" s="253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0"/>
      <c r="R31" s="250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  <c r="DM31" s="186"/>
      <c r="DN31" s="186"/>
      <c r="DO31" s="186"/>
      <c r="DP31" s="186"/>
      <c r="DQ31" s="186"/>
      <c r="DR31" s="186"/>
      <c r="DS31" s="186"/>
      <c r="DT31" s="186"/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  <c r="EY31" s="186"/>
      <c r="EZ31" s="186"/>
      <c r="FA31" s="186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  <c r="GR31" s="186"/>
      <c r="GS31" s="186"/>
      <c r="GT31" s="186"/>
      <c r="GU31" s="186"/>
      <c r="GV31" s="186"/>
      <c r="GW31" s="186"/>
      <c r="GX31" s="186"/>
      <c r="GY31" s="186"/>
      <c r="GZ31" s="186"/>
      <c r="HA31" s="186"/>
      <c r="HB31" s="186"/>
      <c r="HC31" s="186"/>
      <c r="HD31" s="186"/>
      <c r="HE31" s="186"/>
      <c r="HF31" s="186"/>
      <c r="HG31" s="186"/>
      <c r="HH31" s="186"/>
      <c r="HI31" s="186"/>
      <c r="HJ31" s="186"/>
      <c r="HK31" s="186"/>
      <c r="HL31" s="186"/>
      <c r="HM31" s="186"/>
      <c r="HN31" s="186"/>
      <c r="HO31" s="186"/>
      <c r="HP31" s="186"/>
      <c r="HQ31" s="186"/>
      <c r="HR31" s="187"/>
    </row>
    <row r="32" ht="22.5" customHeight="1">
      <c r="A32" t="s" s="251">
        <v>124</v>
      </c>
      <c r="B32" s="252"/>
      <c r="C32" s="253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0"/>
      <c r="R32" s="250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  <c r="DM32" s="186"/>
      <c r="DN32" s="186"/>
      <c r="DO32" s="186"/>
      <c r="DP32" s="186"/>
      <c r="DQ32" s="186"/>
      <c r="DR32" s="186"/>
      <c r="DS32" s="186"/>
      <c r="DT32" s="186"/>
      <c r="DU32" s="186"/>
      <c r="DV32" s="186"/>
      <c r="DW32" s="186"/>
      <c r="DX32" s="186"/>
      <c r="DY32" s="186"/>
      <c r="DZ32" s="186"/>
      <c r="EA32" s="186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6"/>
      <c r="EO32" s="186"/>
      <c r="EP32" s="186"/>
      <c r="EQ32" s="186"/>
      <c r="ER32" s="186"/>
      <c r="ES32" s="186"/>
      <c r="ET32" s="186"/>
      <c r="EU32" s="186"/>
      <c r="EV32" s="186"/>
      <c r="EW32" s="186"/>
      <c r="EX32" s="186"/>
      <c r="EY32" s="186"/>
      <c r="EZ32" s="186"/>
      <c r="FA32" s="186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  <c r="GR32" s="186"/>
      <c r="GS32" s="186"/>
      <c r="GT32" s="186"/>
      <c r="GU32" s="186"/>
      <c r="GV32" s="186"/>
      <c r="GW32" s="186"/>
      <c r="GX32" s="186"/>
      <c r="GY32" s="186"/>
      <c r="GZ32" s="186"/>
      <c r="HA32" s="186"/>
      <c r="HB32" s="186"/>
      <c r="HC32" s="186"/>
      <c r="HD32" s="186"/>
      <c r="HE32" s="186"/>
      <c r="HF32" s="186"/>
      <c r="HG32" s="186"/>
      <c r="HH32" s="186"/>
      <c r="HI32" s="186"/>
      <c r="HJ32" s="186"/>
      <c r="HK32" s="186"/>
      <c r="HL32" s="186"/>
      <c r="HM32" s="186"/>
      <c r="HN32" s="186"/>
      <c r="HO32" s="186"/>
      <c r="HP32" s="186"/>
      <c r="HQ32" s="186"/>
      <c r="HR32" s="187"/>
    </row>
    <row r="33" ht="21" customHeight="1">
      <c r="A33" t="s" s="255">
        <v>125</v>
      </c>
      <c r="B33" s="256"/>
      <c r="C33" s="257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0"/>
      <c r="R33" s="250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  <c r="DM33" s="186"/>
      <c r="DN33" s="186"/>
      <c r="DO33" s="186"/>
      <c r="DP33" s="186"/>
      <c r="DQ33" s="186"/>
      <c r="DR33" s="186"/>
      <c r="DS33" s="186"/>
      <c r="DT33" s="186"/>
      <c r="DU33" s="186"/>
      <c r="DV33" s="186"/>
      <c r="DW33" s="186"/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  <c r="EY33" s="186"/>
      <c r="EZ33" s="186"/>
      <c r="FA33" s="186"/>
      <c r="FB33" s="186"/>
      <c r="FC33" s="186"/>
      <c r="FD33" s="186"/>
      <c r="FE33" s="186"/>
      <c r="FF33" s="186"/>
      <c r="FG33" s="186"/>
      <c r="FH33" s="186"/>
      <c r="FI33" s="186"/>
      <c r="FJ33" s="186"/>
      <c r="FK33" s="186"/>
      <c r="FL33" s="186"/>
      <c r="FM33" s="186"/>
      <c r="FN33" s="186"/>
      <c r="FO33" s="186"/>
      <c r="FP33" s="186"/>
      <c r="FQ33" s="186"/>
      <c r="FR33" s="186"/>
      <c r="FS33" s="186"/>
      <c r="FT33" s="186"/>
      <c r="FU33" s="186"/>
      <c r="FV33" s="186"/>
      <c r="FW33" s="186"/>
      <c r="FX33" s="186"/>
      <c r="FY33" s="186"/>
      <c r="FZ33" s="186"/>
      <c r="GA33" s="186"/>
      <c r="GB33" s="186"/>
      <c r="GC33" s="186"/>
      <c r="GD33" s="186"/>
      <c r="GE33" s="186"/>
      <c r="GF33" s="186"/>
      <c r="GG33" s="186"/>
      <c r="GH33" s="186"/>
      <c r="GI33" s="186"/>
      <c r="GJ33" s="186"/>
      <c r="GK33" s="186"/>
      <c r="GL33" s="186"/>
      <c r="GM33" s="186"/>
      <c r="GN33" s="186"/>
      <c r="GO33" s="186"/>
      <c r="GP33" s="186"/>
      <c r="GQ33" s="186"/>
      <c r="GR33" s="186"/>
      <c r="GS33" s="186"/>
      <c r="GT33" s="186"/>
      <c r="GU33" s="186"/>
      <c r="GV33" s="186"/>
      <c r="GW33" s="186"/>
      <c r="GX33" s="186"/>
      <c r="GY33" s="186"/>
      <c r="GZ33" s="186"/>
      <c r="HA33" s="186"/>
      <c r="HB33" s="186"/>
      <c r="HC33" s="186"/>
      <c r="HD33" s="186"/>
      <c r="HE33" s="186"/>
      <c r="HF33" s="186"/>
      <c r="HG33" s="186"/>
      <c r="HH33" s="186"/>
      <c r="HI33" s="186"/>
      <c r="HJ33" s="186"/>
      <c r="HK33" s="186"/>
      <c r="HL33" s="186"/>
      <c r="HM33" s="186"/>
      <c r="HN33" s="186"/>
      <c r="HO33" s="186"/>
      <c r="HP33" s="186"/>
      <c r="HQ33" s="186"/>
      <c r="HR33" s="187"/>
    </row>
    <row r="34" ht="54.75" customHeight="1">
      <c r="A34" t="s" s="241">
        <v>126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3"/>
      <c r="Q34" s="244"/>
      <c r="R34" s="245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  <c r="DM34" s="186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/>
      <c r="EV34" s="186"/>
      <c r="EW34" s="186"/>
      <c r="EX34" s="186"/>
      <c r="EY34" s="186"/>
      <c r="EZ34" s="186"/>
      <c r="FA34" s="186"/>
      <c r="FB34" s="186"/>
      <c r="FC34" s="186"/>
      <c r="FD34" s="186"/>
      <c r="FE34" s="186"/>
      <c r="FF34" s="186"/>
      <c r="FG34" s="186"/>
      <c r="FH34" s="186"/>
      <c r="FI34" s="186"/>
      <c r="FJ34" s="186"/>
      <c r="FK34" s="186"/>
      <c r="FL34" s="186"/>
      <c r="FM34" s="186"/>
      <c r="FN34" s="186"/>
      <c r="FO34" s="186"/>
      <c r="FP34" s="186"/>
      <c r="FQ34" s="186"/>
      <c r="FR34" s="186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7"/>
    </row>
    <row r="35" ht="54.75" customHeight="1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1"/>
      <c r="Q35" s="262"/>
      <c r="R35" s="263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  <c r="DM35" s="186"/>
      <c r="DN35" s="186"/>
      <c r="DO35" s="186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/>
      <c r="EW35" s="186"/>
      <c r="EX35" s="186"/>
      <c r="EY35" s="186"/>
      <c r="EZ35" s="186"/>
      <c r="FA35" s="186"/>
      <c r="FB35" s="186"/>
      <c r="FC35" s="186"/>
      <c r="FD35" s="186"/>
      <c r="FE35" s="186"/>
      <c r="FF35" s="186"/>
      <c r="FG35" s="186"/>
      <c r="FH35" s="186"/>
      <c r="FI35" s="186"/>
      <c r="FJ35" s="186"/>
      <c r="FK35" s="186"/>
      <c r="FL35" s="186"/>
      <c r="FM35" s="186"/>
      <c r="FN35" s="186"/>
      <c r="FO35" s="186"/>
      <c r="FP35" s="186"/>
      <c r="FQ35" s="186"/>
      <c r="FR35" s="186"/>
      <c r="FS35" s="186"/>
      <c r="FT35" s="186"/>
      <c r="FU35" s="186"/>
      <c r="FV35" s="186"/>
      <c r="FW35" s="186"/>
      <c r="FX35" s="186"/>
      <c r="FY35" s="186"/>
      <c r="FZ35" s="186"/>
      <c r="GA35" s="186"/>
      <c r="GB35" s="186"/>
      <c r="GC35" s="186"/>
      <c r="GD35" s="186"/>
      <c r="GE35" s="186"/>
      <c r="GF35" s="186"/>
      <c r="GG35" s="186"/>
      <c r="GH35" s="186"/>
      <c r="GI35" s="186"/>
      <c r="GJ35" s="186"/>
      <c r="GK35" s="186"/>
      <c r="GL35" s="186"/>
      <c r="GM35" s="186"/>
      <c r="GN35" s="186"/>
      <c r="GO35" s="186"/>
      <c r="GP35" s="186"/>
      <c r="GQ35" s="186"/>
      <c r="GR35" s="186"/>
      <c r="GS35" s="186"/>
      <c r="GT35" s="186"/>
      <c r="GU35" s="186"/>
      <c r="GV35" s="186"/>
      <c r="GW35" s="186"/>
      <c r="GX35" s="186"/>
      <c r="GY35" s="186"/>
      <c r="GZ35" s="186"/>
      <c r="HA35" s="186"/>
      <c r="HB35" s="186"/>
      <c r="HC35" s="186"/>
      <c r="HD35" s="186"/>
      <c r="HE35" s="186"/>
      <c r="HF35" s="186"/>
      <c r="HG35" s="186"/>
      <c r="HH35" s="186"/>
      <c r="HI35" s="186"/>
      <c r="HJ35" s="186"/>
      <c r="HK35" s="186"/>
      <c r="HL35" s="186"/>
      <c r="HM35" s="186"/>
      <c r="HN35" s="186"/>
      <c r="HO35" s="186"/>
      <c r="HP35" s="186"/>
      <c r="HQ35" s="186"/>
      <c r="HR35" s="187"/>
    </row>
    <row r="36" ht="54.75" customHeight="1">
      <c r="A36" s="264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6"/>
      <c r="Q36" s="273"/>
      <c r="R36" s="274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268"/>
      <c r="CO36" s="268"/>
      <c r="CP36" s="268"/>
      <c r="CQ36" s="268"/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  <c r="DM36" s="268"/>
      <c r="DN36" s="268"/>
      <c r="DO36" s="268"/>
      <c r="DP36" s="268"/>
      <c r="DQ36" s="268"/>
      <c r="DR36" s="268"/>
      <c r="DS36" s="268"/>
      <c r="DT36" s="268"/>
      <c r="DU36" s="268"/>
      <c r="DV36" s="268"/>
      <c r="DW36" s="268"/>
      <c r="DX36" s="268"/>
      <c r="DY36" s="268"/>
      <c r="DZ36" s="268"/>
      <c r="EA36" s="268"/>
      <c r="EB36" s="268"/>
      <c r="EC36" s="268"/>
      <c r="ED36" s="268"/>
      <c r="EE36" s="268"/>
      <c r="EF36" s="268"/>
      <c r="EG36" s="268"/>
      <c r="EH36" s="268"/>
      <c r="EI36" s="268"/>
      <c r="EJ36" s="268"/>
      <c r="EK36" s="268"/>
      <c r="EL36" s="268"/>
      <c r="EM36" s="268"/>
      <c r="EN36" s="268"/>
      <c r="EO36" s="268"/>
      <c r="EP36" s="268"/>
      <c r="EQ36" s="268"/>
      <c r="ER36" s="268"/>
      <c r="ES36" s="268"/>
      <c r="ET36" s="268"/>
      <c r="EU36" s="268"/>
      <c r="EV36" s="268"/>
      <c r="EW36" s="268"/>
      <c r="EX36" s="268"/>
      <c r="EY36" s="268"/>
      <c r="EZ36" s="268"/>
      <c r="FA36" s="268"/>
      <c r="FB36" s="268"/>
      <c r="FC36" s="268"/>
      <c r="FD36" s="268"/>
      <c r="FE36" s="268"/>
      <c r="FF36" s="268"/>
      <c r="FG36" s="268"/>
      <c r="FH36" s="268"/>
      <c r="FI36" s="268"/>
      <c r="FJ36" s="268"/>
      <c r="FK36" s="268"/>
      <c r="FL36" s="268"/>
      <c r="FM36" s="268"/>
      <c r="FN36" s="268"/>
      <c r="FO36" s="268"/>
      <c r="FP36" s="268"/>
      <c r="FQ36" s="268"/>
      <c r="FR36" s="268"/>
      <c r="FS36" s="268"/>
      <c r="FT36" s="268"/>
      <c r="FU36" s="268"/>
      <c r="FV36" s="268"/>
      <c r="FW36" s="268"/>
      <c r="FX36" s="268"/>
      <c r="FY36" s="268"/>
      <c r="FZ36" s="268"/>
      <c r="GA36" s="268"/>
      <c r="GB36" s="268"/>
      <c r="GC36" s="268"/>
      <c r="GD36" s="268"/>
      <c r="GE36" s="268"/>
      <c r="GF36" s="268"/>
      <c r="GG36" s="268"/>
      <c r="GH36" s="268"/>
      <c r="GI36" s="268"/>
      <c r="GJ36" s="268"/>
      <c r="GK36" s="268"/>
      <c r="GL36" s="268"/>
      <c r="GM36" s="268"/>
      <c r="GN36" s="268"/>
      <c r="GO36" s="268"/>
      <c r="GP36" s="268"/>
      <c r="GQ36" s="268"/>
      <c r="GR36" s="268"/>
      <c r="GS36" s="268"/>
      <c r="GT36" s="268"/>
      <c r="GU36" s="268"/>
      <c r="GV36" s="268"/>
      <c r="GW36" s="268"/>
      <c r="GX36" s="268"/>
      <c r="GY36" s="268"/>
      <c r="GZ36" s="268"/>
      <c r="HA36" s="268"/>
      <c r="HB36" s="268"/>
      <c r="HC36" s="268"/>
      <c r="HD36" s="268"/>
      <c r="HE36" s="268"/>
      <c r="HF36" s="268"/>
      <c r="HG36" s="268"/>
      <c r="HH36" s="268"/>
      <c r="HI36" s="268"/>
      <c r="HJ36" s="268"/>
      <c r="HK36" s="268"/>
      <c r="HL36" s="268"/>
      <c r="HM36" s="268"/>
      <c r="HN36" s="268"/>
      <c r="HO36" s="268"/>
      <c r="HP36" s="268"/>
      <c r="HQ36" s="268"/>
      <c r="HR36" s="269"/>
    </row>
  </sheetData>
  <mergeCells count="53">
    <mergeCell ref="A34:P34"/>
    <mergeCell ref="A35:P36"/>
    <mergeCell ref="C1:G1"/>
    <mergeCell ref="N1:P1"/>
    <mergeCell ref="A2:P2"/>
    <mergeCell ref="I4:P4"/>
    <mergeCell ref="B7:F7"/>
    <mergeCell ref="I7:P7"/>
    <mergeCell ref="B9:E9"/>
    <mergeCell ref="I9:O9"/>
    <mergeCell ref="B10:E10"/>
    <mergeCell ref="I10:O10"/>
    <mergeCell ref="B11:E11"/>
    <mergeCell ref="I11:O11"/>
    <mergeCell ref="I12:O12"/>
    <mergeCell ref="B14:F14"/>
    <mergeCell ref="I14:P14"/>
    <mergeCell ref="B16:E16"/>
    <mergeCell ref="I16:J16"/>
    <mergeCell ref="L16:M16"/>
    <mergeCell ref="O16:P16"/>
    <mergeCell ref="B17:E17"/>
    <mergeCell ref="I17:J17"/>
    <mergeCell ref="L17:M17"/>
    <mergeCell ref="O17:P17"/>
    <mergeCell ref="B18:E18"/>
    <mergeCell ref="I18:J18"/>
    <mergeCell ref="L18:M18"/>
    <mergeCell ref="O18:P18"/>
    <mergeCell ref="B19:E19"/>
    <mergeCell ref="I19:J19"/>
    <mergeCell ref="L19:M19"/>
    <mergeCell ref="O19:P19"/>
    <mergeCell ref="B20:E20"/>
    <mergeCell ref="I20:J20"/>
    <mergeCell ref="L20:M20"/>
    <mergeCell ref="O20:P20"/>
    <mergeCell ref="I21:J21"/>
    <mergeCell ref="L21:M21"/>
    <mergeCell ref="O21:P21"/>
    <mergeCell ref="I22:J22"/>
    <mergeCell ref="L22:M22"/>
    <mergeCell ref="O22:P22"/>
    <mergeCell ref="L23:M23"/>
    <mergeCell ref="O23:P23"/>
    <mergeCell ref="L24:M24"/>
    <mergeCell ref="A28:P28"/>
    <mergeCell ref="A29:B29"/>
    <mergeCell ref="C29:P33"/>
    <mergeCell ref="A30:B30"/>
    <mergeCell ref="A31:B31"/>
    <mergeCell ref="A32:B32"/>
    <mergeCell ref="A33:B33"/>
  </mergeCells>
  <pageMargins left="0.7" right="0.7" top="0.75" bottom="0.75" header="0.3" footer="0.3"/>
  <pageSetup firstPageNumber="1" fitToHeight="1" fitToWidth="1" scale="42" useFirstPageNumber="0" orientation="portrait" pageOrder="downThenOver"/>
  <headerFooter>
    <oddFooter>&amp;C&amp;"Helvetica Neue,Regular"&amp;12&amp;K000000&amp;P</oddFooter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48"/>
  <sheetViews>
    <sheetView workbookViewId="0" showGridLines="0" defaultGridColor="1"/>
  </sheetViews>
  <sheetFormatPr defaultColWidth="14.3333" defaultRowHeight="21.75" customHeight="1" outlineLevelRow="0" outlineLevelCol="0"/>
  <cols>
    <col min="1" max="3" width="14.3516" style="283" customWidth="1"/>
    <col min="4" max="4" width="15" style="283" customWidth="1"/>
    <col min="5" max="5" width="15.8516" style="283" customWidth="1"/>
    <col min="6" max="8" width="14.3516" style="283" customWidth="1"/>
    <col min="9" max="9" width="11.3516" style="283" customWidth="1"/>
    <col min="10" max="10" width="17.6719" style="283" customWidth="1"/>
    <col min="11" max="13" width="14.3516" style="283" customWidth="1"/>
    <col min="14" max="14" width="16.5" style="283" customWidth="1"/>
    <col min="15" max="15" width="16.6719" style="283" customWidth="1"/>
    <col min="16" max="19" width="14.3516" style="283" customWidth="1"/>
    <col min="20" max="16384" width="14.3516" style="283" customWidth="1"/>
  </cols>
  <sheetData>
    <row r="1" ht="98.25" customHeight="1">
      <c r="A1" s="2"/>
      <c r="B1" s="3"/>
      <c r="C1" t="s" s="4">
        <v>0</v>
      </c>
      <c r="D1" s="5"/>
      <c r="E1" s="5"/>
      <c r="F1" s="3"/>
      <c r="G1" s="5"/>
      <c r="H1" t="s" s="4">
        <v>1</v>
      </c>
      <c r="I1" s="3"/>
      <c r="J1" s="3"/>
      <c r="K1" t="s" s="4">
        <v>2</v>
      </c>
      <c r="L1" s="3"/>
      <c r="M1" t="s" s="4">
        <v>3</v>
      </c>
      <c r="N1" s="3"/>
      <c r="O1" t="s" s="6">
        <v>4</v>
      </c>
      <c r="P1" s="7"/>
      <c r="Q1" s="8"/>
      <c r="R1" s="8"/>
      <c r="S1" s="9"/>
    </row>
    <row r="2" ht="51.75" customHeight="1">
      <c r="A2" t="s" s="10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/>
      <c r="Q2" s="13"/>
      <c r="R2" s="14"/>
      <c r="S2" s="15"/>
    </row>
    <row r="3" ht="22.5" customHeight="1">
      <c r="A3" s="16"/>
      <c r="B3" s="17"/>
      <c r="C3" s="17"/>
      <c r="D3" s="17"/>
      <c r="E3" s="18"/>
      <c r="F3" s="18"/>
      <c r="G3" s="17"/>
      <c r="H3" s="17"/>
      <c r="I3" s="17"/>
      <c r="J3" s="17"/>
      <c r="K3" s="18"/>
      <c r="L3" s="17"/>
      <c r="M3" s="17"/>
      <c r="N3" s="17"/>
      <c r="O3" s="17"/>
      <c r="P3" s="18"/>
      <c r="Q3" s="14"/>
      <c r="R3" s="14"/>
      <c r="S3" s="15"/>
    </row>
    <row r="4" ht="45.95" customHeight="1">
      <c r="A4" s="19"/>
      <c r="B4" t="s" s="20">
        <v>6</v>
      </c>
      <c r="C4" s="21"/>
      <c r="D4" s="22"/>
      <c r="E4" s="23"/>
      <c r="F4" s="24"/>
      <c r="G4" t="s" s="25">
        <v>7</v>
      </c>
      <c r="H4" s="26"/>
      <c r="I4" s="26"/>
      <c r="J4" s="27"/>
      <c r="K4" s="28"/>
      <c r="L4" t="s" s="20">
        <v>8</v>
      </c>
      <c r="M4" s="21"/>
      <c r="N4" s="21"/>
      <c r="O4" t="s" s="29">
        <v>9</v>
      </c>
      <c r="P4" s="23"/>
      <c r="Q4" s="14"/>
      <c r="R4" s="14"/>
      <c r="S4" s="15"/>
    </row>
    <row r="5" ht="45.95" customHeight="1">
      <c r="A5" s="19"/>
      <c r="B5" t="s" s="30">
        <v>10</v>
      </c>
      <c r="C5" s="31"/>
      <c r="D5" s="32"/>
      <c r="E5" s="23"/>
      <c r="F5" s="24"/>
      <c r="G5" t="s" s="33">
        <v>11</v>
      </c>
      <c r="H5" s="34"/>
      <c r="I5" s="35"/>
      <c r="J5" s="32"/>
      <c r="K5" s="28"/>
      <c r="L5" t="s" s="30">
        <v>12</v>
      </c>
      <c r="M5" s="31"/>
      <c r="N5" s="36">
        <v>0.15</v>
      </c>
      <c r="O5" s="37" cm="1">
        <f t="array" ref="O5">IF(D7/8100&lt;1,1,D7/8100)</f>
        <v>1</v>
      </c>
      <c r="P5" s="23"/>
      <c r="Q5" s="14"/>
      <c r="R5" s="14"/>
      <c r="S5" s="15"/>
    </row>
    <row r="6" ht="45.95" customHeight="1">
      <c r="A6" s="19"/>
      <c r="B6" t="s" s="30">
        <v>13</v>
      </c>
      <c r="C6" s="31"/>
      <c r="D6" s="38" cm="1">
        <f t="array" ref="D6">D5*0.85</f>
        <v>0</v>
      </c>
      <c r="E6" s="23"/>
      <c r="F6" s="24"/>
      <c r="G6" t="s" s="39">
        <v>14</v>
      </c>
      <c r="H6" s="40"/>
      <c r="I6" s="41"/>
      <c r="J6" s="42"/>
      <c r="K6" s="28"/>
      <c r="L6" t="s" s="43">
        <v>15</v>
      </c>
      <c r="M6" s="44"/>
      <c r="N6" s="36">
        <v>0.05</v>
      </c>
      <c r="O6" s="37" cm="1">
        <f t="array" ref="O6">IF(D8*N6&lt;1,1,D8*N6)</f>
      </c>
      <c r="P6" s="23"/>
      <c r="Q6" s="14"/>
      <c r="R6" s="14"/>
      <c r="S6" s="15"/>
    </row>
    <row r="7" ht="45.95" customHeight="1">
      <c r="A7" s="19"/>
      <c r="B7" t="s" s="43">
        <v>12</v>
      </c>
      <c r="C7" s="44"/>
      <c r="D7" s="38" cm="1">
        <f t="array" ref="D7">D5*0.15</f>
        <v>0</v>
      </c>
      <c r="E7" s="23"/>
      <c r="F7" s="24"/>
      <c r="G7" t="s" s="39">
        <v>16</v>
      </c>
      <c r="H7" s="40"/>
      <c r="I7" s="41"/>
      <c r="J7" s="45" cm="1">
        <f t="array" ref="J7">J5*J6</f>
        <v>0</v>
      </c>
      <c r="K7" s="28"/>
      <c r="L7" t="s" s="46">
        <v>17</v>
      </c>
      <c r="M7" s="47"/>
      <c r="N7" s="48">
        <v>0.3</v>
      </c>
      <c r="O7" s="49" cm="1">
        <f t="array" ref="O7">IF(D8*N7&lt;1,1,D8*N7)</f>
      </c>
      <c r="P7" s="23"/>
      <c r="Q7" s="14"/>
      <c r="R7" s="14"/>
      <c r="S7" s="15"/>
    </row>
    <row r="8" ht="45.95" customHeight="1">
      <c r="A8" s="19"/>
      <c r="B8" t="s" s="46">
        <v>18</v>
      </c>
      <c r="C8" s="47"/>
      <c r="D8" s="49" cm="1">
        <f t="array" ref="D8">D5/N14</f>
      </c>
      <c r="E8" s="23"/>
      <c r="F8" s="24"/>
      <c r="G8" t="s" s="50">
        <v>19</v>
      </c>
      <c r="H8" s="51"/>
      <c r="I8" s="52"/>
      <c r="J8" s="49" cm="1">
        <f t="array" ref="J8">D5*1.1</f>
        <v>0</v>
      </c>
      <c r="K8" s="23"/>
      <c r="L8" t="s" s="53">
        <v>20</v>
      </c>
      <c r="M8" s="54"/>
      <c r="N8" s="54"/>
      <c r="O8" s="54"/>
      <c r="P8" s="14"/>
      <c r="Q8" s="14"/>
      <c r="R8" s="14"/>
      <c r="S8" s="15"/>
    </row>
    <row r="9" ht="45.95" customHeight="1">
      <c r="A9" s="55"/>
      <c r="B9" s="56"/>
      <c r="C9" s="56"/>
      <c r="D9" s="56"/>
      <c r="E9" s="14"/>
      <c r="F9" s="14"/>
      <c r="G9" t="s" s="53">
        <v>21</v>
      </c>
      <c r="H9" s="54"/>
      <c r="I9" s="54"/>
      <c r="J9" s="54"/>
      <c r="K9" s="14"/>
      <c r="L9" s="57"/>
      <c r="M9" s="14"/>
      <c r="N9" s="14"/>
      <c r="O9" s="14"/>
      <c r="P9" s="14"/>
      <c r="Q9" s="14"/>
      <c r="R9" s="14"/>
      <c r="S9" s="15"/>
    </row>
    <row r="10" ht="45.95" customHeight="1">
      <c r="A10" s="55"/>
      <c r="B10" s="58"/>
      <c r="C10" s="58"/>
      <c r="D10" s="58"/>
      <c r="E10" s="58"/>
      <c r="F10" s="14"/>
      <c r="G10" s="58"/>
      <c r="H10" s="58"/>
      <c r="I10" s="58"/>
      <c r="J10" s="58"/>
      <c r="K10" s="14"/>
      <c r="L10" t="s" s="59">
        <v>22</v>
      </c>
      <c r="M10" s="60"/>
      <c r="N10" t="s" s="59">
        <v>23</v>
      </c>
      <c r="O10" s="60"/>
      <c r="P10" s="14"/>
      <c r="Q10" s="14"/>
      <c r="R10" s="14"/>
      <c r="S10" s="15"/>
    </row>
    <row r="11" ht="45.95" customHeight="1">
      <c r="A11" s="19"/>
      <c r="B11" t="s" s="25">
        <v>24</v>
      </c>
      <c r="C11" s="26"/>
      <c r="D11" s="26"/>
      <c r="E11" s="27"/>
      <c r="F11" s="28"/>
      <c r="G11" t="s" s="61">
        <v>25</v>
      </c>
      <c r="H11" s="62"/>
      <c r="I11" s="62"/>
      <c r="J11" s="63"/>
      <c r="K11" s="28"/>
      <c r="L11" t="s" s="64">
        <v>26</v>
      </c>
      <c r="M11" s="65"/>
      <c r="N11" t="s" s="64">
        <v>26</v>
      </c>
      <c r="O11" s="65"/>
      <c r="P11" s="23"/>
      <c r="Q11" s="14"/>
      <c r="R11" s="14"/>
      <c r="S11" s="15"/>
    </row>
    <row r="12" ht="45.95" customHeight="1">
      <c r="A12" s="19"/>
      <c r="B12" t="s" s="33">
        <v>27</v>
      </c>
      <c r="C12" s="35"/>
      <c r="D12" s="66" cm="1">
        <f t="array" ref="D12">D5/D31</f>
      </c>
      <c r="E12" s="67"/>
      <c r="F12" s="28"/>
      <c r="G12" t="s" s="68">
        <v>28</v>
      </c>
      <c r="H12" s="69"/>
      <c r="I12" s="70"/>
      <c r="J12" s="71"/>
      <c r="K12" s="28"/>
      <c r="L12" s="72"/>
      <c r="M12" s="73"/>
      <c r="N12" s="72"/>
      <c r="O12" s="73"/>
      <c r="P12" s="23"/>
      <c r="Q12" s="14"/>
      <c r="R12" s="14"/>
      <c r="S12" s="15"/>
    </row>
    <row r="13" ht="45.95" customHeight="1">
      <c r="A13" s="19"/>
      <c r="B13" t="s" s="50">
        <v>9</v>
      </c>
      <c r="C13" s="52"/>
      <c r="D13" s="74" cm="1">
        <f t="array" ref="D13">D8/D31</f>
      </c>
      <c r="E13" s="75"/>
      <c r="F13" s="23"/>
      <c r="G13" s="56"/>
      <c r="H13" s="56"/>
      <c r="I13" s="76"/>
      <c r="J13" s="76"/>
      <c r="K13" s="24"/>
      <c r="L13" t="s" s="64">
        <v>29</v>
      </c>
      <c r="M13" s="65"/>
      <c r="N13" t="s" s="64">
        <v>29</v>
      </c>
      <c r="O13" s="65"/>
      <c r="P13" s="23"/>
      <c r="Q13" s="14"/>
      <c r="R13" s="14"/>
      <c r="S13" s="15"/>
    </row>
    <row r="14" ht="45.95" customHeight="1">
      <c r="A14" s="55"/>
      <c r="B14" s="56"/>
      <c r="C14" s="56"/>
      <c r="D14" s="56"/>
      <c r="E14" s="56"/>
      <c r="F14" s="14"/>
      <c r="G14" s="14"/>
      <c r="H14" s="14"/>
      <c r="I14" s="77"/>
      <c r="J14" s="77"/>
      <c r="K14" s="24"/>
      <c r="L14" s="72"/>
      <c r="M14" s="73"/>
      <c r="N14" s="72"/>
      <c r="O14" s="73"/>
      <c r="P14" s="23"/>
      <c r="Q14" s="14"/>
      <c r="R14" s="14"/>
      <c r="S14" s="15"/>
    </row>
    <row r="15" ht="45.95" customHeight="1">
      <c r="A15" s="55"/>
      <c r="B15" s="14"/>
      <c r="C15" s="58"/>
      <c r="D15" s="58"/>
      <c r="E15" s="58"/>
      <c r="F15" s="58"/>
      <c r="G15" s="58"/>
      <c r="H15" s="58"/>
      <c r="I15" s="14"/>
      <c r="J15" s="14"/>
      <c r="K15" s="14"/>
      <c r="L15" s="56"/>
      <c r="M15" s="56"/>
      <c r="N15" s="56"/>
      <c r="O15" s="56"/>
      <c r="P15" s="14"/>
      <c r="Q15" s="14"/>
      <c r="R15" s="14"/>
      <c r="S15" s="15"/>
    </row>
    <row r="16" ht="55.5" customHeight="1">
      <c r="A16" s="55"/>
      <c r="B16" s="78"/>
      <c r="C16" t="s" s="79">
        <v>30</v>
      </c>
      <c r="D16" t="s" s="80">
        <v>31</v>
      </c>
      <c r="E16" t="s" s="80">
        <v>32</v>
      </c>
      <c r="F16" t="s" s="80">
        <v>33</v>
      </c>
      <c r="G16" t="s" s="80">
        <v>34</v>
      </c>
      <c r="H16" t="s" s="81">
        <v>35</v>
      </c>
      <c r="I16" s="82"/>
      <c r="J16" s="77"/>
      <c r="K16" s="14"/>
      <c r="L16" s="14"/>
      <c r="M16" s="14"/>
      <c r="N16" s="14"/>
      <c r="O16" s="14"/>
      <c r="P16" s="14"/>
      <c r="Q16" s="14"/>
      <c r="R16" s="14"/>
      <c r="S16" s="15"/>
    </row>
    <row r="17" ht="45.95" customHeight="1">
      <c r="A17" s="19"/>
      <c r="B17" t="s" s="83">
        <v>36</v>
      </c>
      <c r="C17" s="84"/>
      <c r="D17" s="85"/>
      <c r="E17" s="85"/>
      <c r="F17" s="85"/>
      <c r="G17" s="86"/>
      <c r="H17" s="87" cm="1">
        <f t="array" ref="H17">SUM(C17:G17)</f>
        <v>0</v>
      </c>
      <c r="I17" s="82"/>
      <c r="J17" s="77"/>
      <c r="K17" s="77"/>
      <c r="L17" s="77"/>
      <c r="M17" s="77"/>
      <c r="N17" s="77"/>
      <c r="O17" s="77"/>
      <c r="P17" s="14"/>
      <c r="Q17" s="14"/>
      <c r="R17" s="14"/>
      <c r="S17" s="15"/>
    </row>
    <row r="18" ht="45.95" customHeight="1">
      <c r="A18" s="19"/>
      <c r="B18" t="s" s="88">
        <v>37</v>
      </c>
      <c r="C18" s="89" cm="1">
        <f t="array" ref="C18">C17/$H$17</f>
      </c>
      <c r="D18" s="36" cm="1">
        <f t="array" ref="D18">D17/$H$17</f>
      </c>
      <c r="E18" s="36" cm="1">
        <f t="array" ref="E18">E17/$H$17</f>
      </c>
      <c r="F18" s="36" cm="1">
        <f t="array" ref="F18">F17/$H$17</f>
      </c>
      <c r="G18" s="36" cm="1">
        <f t="array" ref="G18">G17/$H$17</f>
      </c>
      <c r="H18" s="90" cm="1">
        <f t="array" ref="H18">H17/$H$17</f>
      </c>
      <c r="I18" s="82"/>
      <c r="J18" s="77"/>
      <c r="K18" s="77"/>
      <c r="L18" s="77"/>
      <c r="M18" s="77"/>
      <c r="N18" s="77"/>
      <c r="O18" s="77"/>
      <c r="P18" s="14"/>
      <c r="Q18" s="14"/>
      <c r="R18" s="14"/>
      <c r="S18" s="15"/>
    </row>
    <row r="19" ht="45.95" customHeight="1">
      <c r="A19" s="19"/>
      <c r="B19" t="s" s="91">
        <v>38</v>
      </c>
      <c r="C19" s="92" cm="1">
        <f t="array" ref="C19">C18*$D$5</f>
      </c>
      <c r="D19" s="93" cm="1">
        <f t="array" ref="D19">D18*$D$5</f>
      </c>
      <c r="E19" s="93" cm="1">
        <f t="array" ref="E19">E18*$D$5</f>
      </c>
      <c r="F19" s="93" cm="1">
        <f t="array" ref="F19">F18*$D$5</f>
      </c>
      <c r="G19" s="93" cm="1">
        <f t="array" ref="G19">G18*$D$5</f>
      </c>
      <c r="H19" s="49" cm="1">
        <f t="array" ref="H19">SUM(C19:G19)</f>
      </c>
      <c r="I19" s="82"/>
      <c r="J19" s="77"/>
      <c r="K19" s="77"/>
      <c r="L19" s="77"/>
      <c r="M19" s="77"/>
      <c r="N19" s="77"/>
      <c r="O19" s="77"/>
      <c r="P19" s="14"/>
      <c r="Q19" s="14"/>
      <c r="R19" s="14"/>
      <c r="S19" s="15"/>
    </row>
    <row r="20" ht="45.95" customHeight="1">
      <c r="A20" s="55"/>
      <c r="B20" s="56"/>
      <c r="C20" s="56"/>
      <c r="D20" s="56"/>
      <c r="E20" s="94"/>
      <c r="F20" s="94"/>
      <c r="G20" s="56"/>
      <c r="H20" s="56"/>
      <c r="I20" s="77"/>
      <c r="J20" s="77"/>
      <c r="K20" s="14"/>
      <c r="L20" s="14"/>
      <c r="M20" s="14"/>
      <c r="N20" s="14"/>
      <c r="O20" s="14"/>
      <c r="P20" s="14"/>
      <c r="Q20" s="14"/>
      <c r="R20" s="14"/>
      <c r="S20" s="15"/>
    </row>
    <row r="21" ht="35.25" customHeight="1">
      <c r="A21" s="5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14"/>
      <c r="N21" s="14"/>
      <c r="O21" s="14"/>
      <c r="P21" s="14"/>
      <c r="Q21" s="14"/>
      <c r="R21" s="14"/>
      <c r="S21" s="15"/>
    </row>
    <row r="22" ht="78.75" customHeight="1">
      <c r="A22" s="96"/>
      <c r="B22" t="s" s="97">
        <v>39</v>
      </c>
      <c r="C22" s="98"/>
      <c r="D22" t="s" s="97">
        <v>40</v>
      </c>
      <c r="E22" s="98"/>
      <c r="F22" t="s" s="97">
        <v>41</v>
      </c>
      <c r="G22" t="s" s="97">
        <v>42</v>
      </c>
      <c r="H22" s="98"/>
      <c r="I22" t="s" s="97">
        <v>43</v>
      </c>
      <c r="J22" s="98"/>
      <c r="K22" t="s" s="97">
        <v>44</v>
      </c>
      <c r="L22" t="s" s="97">
        <v>45</v>
      </c>
      <c r="M22" t="s" s="99">
        <v>46</v>
      </c>
      <c r="N22" s="100"/>
      <c r="O22" s="100"/>
      <c r="P22" s="100"/>
      <c r="Q22" s="14"/>
      <c r="R22" s="14"/>
      <c r="S22" s="15"/>
    </row>
    <row r="23" ht="45.95" customHeight="1">
      <c r="A23" s="96"/>
      <c r="B23" s="271" cm="1">
        <f t="array" ref="B23">'DOMINGO'!B23</f>
        <v>0</v>
      </c>
      <c r="C23" s="44"/>
      <c r="D23" s="101"/>
      <c r="E23" s="101"/>
      <c r="F23" s="102" cm="1">
        <f t="array" ref="F23">($D$5/$D$31)*D23</f>
      </c>
      <c r="G23" s="103" cm="1">
        <f t="array" ref="G23">(($D$8-$O$5)/$D$31)*D23</f>
      </c>
      <c r="H23" s="104"/>
      <c r="I23" s="105"/>
      <c r="J23" s="105"/>
      <c r="K23" s="105"/>
      <c r="L23" s="105"/>
      <c r="M23" s="106"/>
      <c r="N23" s="100"/>
      <c r="O23" s="100"/>
      <c r="P23" s="100"/>
      <c r="Q23" s="77"/>
      <c r="R23" s="14"/>
      <c r="S23" s="15"/>
    </row>
    <row r="24" ht="45.95" customHeight="1">
      <c r="A24" s="96"/>
      <c r="B24" s="271" cm="1">
        <f t="array" ref="B24">'DOMINGO'!B24</f>
        <v>0</v>
      </c>
      <c r="C24" s="44"/>
      <c r="D24" s="101"/>
      <c r="E24" s="101"/>
      <c r="F24" s="102" cm="1">
        <f t="array" ref="F24">($D$5/$D$31)*D24</f>
      </c>
      <c r="G24" s="103" cm="1">
        <f t="array" ref="G24">(($D$8-$O$5)/$D$31)*D24</f>
      </c>
      <c r="H24" s="104"/>
      <c r="I24" s="105"/>
      <c r="J24" s="105"/>
      <c r="K24" s="105"/>
      <c r="L24" s="105"/>
      <c r="M24" s="106"/>
      <c r="N24" s="100"/>
      <c r="O24" s="100"/>
      <c r="P24" s="100"/>
      <c r="Q24" s="107"/>
      <c r="R24" s="14"/>
      <c r="S24" s="15"/>
    </row>
    <row r="25" ht="45.95" customHeight="1">
      <c r="A25" s="96"/>
      <c r="B25" s="271" cm="1">
        <f t="array" ref="B25">'DOMINGO'!B25</f>
        <v>0</v>
      </c>
      <c r="C25" s="44"/>
      <c r="D25" s="109"/>
      <c r="E25" s="110"/>
      <c r="F25" s="102" cm="1">
        <f t="array" ref="F25">($D$5/$D$31)*D25</f>
      </c>
      <c r="G25" s="103" cm="1">
        <f t="array" ref="G25">(($D$8-$O$5)/$D$31)*D25</f>
      </c>
      <c r="H25" s="104"/>
      <c r="I25" s="44"/>
      <c r="J25" s="44"/>
      <c r="K25" s="105"/>
      <c r="L25" s="105"/>
      <c r="M25" s="106"/>
      <c r="N25" s="100"/>
      <c r="O25" s="100"/>
      <c r="P25" s="100"/>
      <c r="Q25" s="107"/>
      <c r="R25" s="14"/>
      <c r="S25" s="15"/>
    </row>
    <row r="26" ht="45.95" customHeight="1">
      <c r="A26" s="96"/>
      <c r="B26" s="271" cm="1">
        <f t="array" ref="B26">'DOMINGO'!B26</f>
        <v>0</v>
      </c>
      <c r="C26" s="44"/>
      <c r="D26" s="109"/>
      <c r="E26" s="110"/>
      <c r="F26" s="102" cm="1">
        <f t="array" ref="F26">($D$5/$D$31)*D26</f>
      </c>
      <c r="G26" s="103" cm="1">
        <f t="array" ref="G26">(($D$8-$O$5)/$D$31)*D26</f>
      </c>
      <c r="H26" s="104"/>
      <c r="I26" s="44"/>
      <c r="J26" s="44"/>
      <c r="K26" s="105"/>
      <c r="L26" s="105"/>
      <c r="M26" s="106"/>
      <c r="N26" s="100"/>
      <c r="O26" s="100"/>
      <c r="P26" s="100"/>
      <c r="Q26" s="107"/>
      <c r="R26" s="14"/>
      <c r="S26" s="15"/>
    </row>
    <row r="27" ht="45.95" customHeight="1">
      <c r="A27" s="96"/>
      <c r="B27" s="271" cm="1">
        <f t="array" ref="B27">'DOMINGO'!B27</f>
        <v>0</v>
      </c>
      <c r="C27" s="44"/>
      <c r="D27" s="109"/>
      <c r="E27" s="110"/>
      <c r="F27" s="102" cm="1">
        <f t="array" ref="F27">($D$5/$D$31)*D27</f>
      </c>
      <c r="G27" s="103" cm="1">
        <f t="array" ref="G27">(($D$8-$O$5)/$D$31)*D27</f>
      </c>
      <c r="H27" s="104"/>
      <c r="I27" s="44"/>
      <c r="J27" s="44"/>
      <c r="K27" s="105"/>
      <c r="L27" s="105"/>
      <c r="M27" s="106"/>
      <c r="N27" s="100"/>
      <c r="O27" s="100"/>
      <c r="P27" s="100"/>
      <c r="Q27" s="107"/>
      <c r="R27" s="14"/>
      <c r="S27" s="15"/>
    </row>
    <row r="28" ht="45.95" customHeight="1">
      <c r="A28" s="96"/>
      <c r="B28" s="271" cm="1">
        <f t="array" ref="B28">'DOMINGO'!B28</f>
        <v>0</v>
      </c>
      <c r="C28" s="44"/>
      <c r="D28" s="109"/>
      <c r="E28" s="110"/>
      <c r="F28" s="102" cm="1">
        <f t="array" ref="F28">($D$5/$D$31)*D28</f>
      </c>
      <c r="G28" s="103" cm="1">
        <f t="array" ref="G28">(($D$8-$O$5)/$D$31)*D28</f>
      </c>
      <c r="H28" s="104"/>
      <c r="I28" s="44"/>
      <c r="J28" s="44"/>
      <c r="K28" s="105"/>
      <c r="L28" s="105"/>
      <c r="M28" s="106"/>
      <c r="N28" s="100"/>
      <c r="O28" s="100"/>
      <c r="P28" s="100"/>
      <c r="Q28" s="107"/>
      <c r="R28" s="14"/>
      <c r="S28" s="15"/>
    </row>
    <row r="29" ht="45.95" customHeight="1">
      <c r="A29" s="96"/>
      <c r="B29" s="271" cm="1">
        <f t="array" ref="B29">'DOMINGO'!B29</f>
        <v>0</v>
      </c>
      <c r="C29" s="44"/>
      <c r="D29" s="109"/>
      <c r="E29" s="110"/>
      <c r="F29" s="102" cm="1">
        <f t="array" ref="F29">($D$5/$D$31)*D29</f>
      </c>
      <c r="G29" s="103" cm="1">
        <f t="array" ref="G29">(($D$8-$O$5)/$D$31)*D29</f>
      </c>
      <c r="H29" s="104"/>
      <c r="I29" s="44"/>
      <c r="J29" s="44"/>
      <c r="K29" s="105"/>
      <c r="L29" s="105"/>
      <c r="M29" s="106"/>
      <c r="N29" s="100"/>
      <c r="O29" s="100"/>
      <c r="P29" s="100"/>
      <c r="Q29" s="107"/>
      <c r="R29" s="14"/>
      <c r="S29" s="15"/>
    </row>
    <row r="30" ht="45.95" customHeight="1">
      <c r="A30" s="96"/>
      <c r="B30" s="271" cm="1">
        <f t="array" ref="B30">'DOMINGO'!B30</f>
        <v>0</v>
      </c>
      <c r="C30" s="44"/>
      <c r="D30" s="101"/>
      <c r="E30" s="101"/>
      <c r="F30" s="102" cm="1">
        <f t="array" ref="F30">($D$5/$D$31)*D30</f>
      </c>
      <c r="G30" s="103" cm="1">
        <f t="array" ref="G30">(($D$8-$O$5)/$D$31)*D30</f>
      </c>
      <c r="H30" s="104"/>
      <c r="I30" s="105"/>
      <c r="J30" s="105"/>
      <c r="K30" s="105"/>
      <c r="L30" s="105"/>
      <c r="M30" s="106"/>
      <c r="N30" s="100"/>
      <c r="O30" s="100"/>
      <c r="P30" s="100"/>
      <c r="Q30" s="77"/>
      <c r="R30" s="14"/>
      <c r="S30" s="15"/>
    </row>
    <row r="31" ht="45.95" customHeight="1">
      <c r="A31" s="96"/>
      <c r="B31" t="s" s="111">
        <v>35</v>
      </c>
      <c r="C31" s="112"/>
      <c r="D31" s="102" cm="1">
        <f t="array" ref="D31">SUM(D23:D30)</f>
        <v>0</v>
      </c>
      <c r="E31" s="102"/>
      <c r="F31" s="102" cm="1">
        <f t="array" ref="F31">SUM(F23:F30)</f>
      </c>
      <c r="G31" s="103" cm="1">
        <f t="array" ref="G31">SUM(G23:H30)</f>
      </c>
      <c r="H31" s="104"/>
      <c r="I31" s="102" cm="1">
        <f t="array" ref="I31">SUM(I23:I30)</f>
        <v>0</v>
      </c>
      <c r="J31" s="102"/>
      <c r="K31" s="102" cm="1">
        <f t="array" ref="K31">O6</f>
      </c>
      <c r="L31" s="102" cm="1">
        <f t="array" ref="L31">O7</f>
      </c>
      <c r="M31" s="106"/>
      <c r="N31" s="100"/>
      <c r="O31" s="100"/>
      <c r="P31" s="100"/>
      <c r="Q31" s="77"/>
      <c r="R31" s="14"/>
      <c r="S31" s="15"/>
    </row>
    <row r="32" ht="45.95" customHeight="1">
      <c r="A32" s="113"/>
      <c r="B32" s="51"/>
      <c r="C32" s="58"/>
      <c r="D32" s="51"/>
      <c r="E32" s="51"/>
      <c r="F32" s="51"/>
      <c r="G32" s="51"/>
      <c r="H32" s="51"/>
      <c r="I32" s="114"/>
      <c r="J32" s="114"/>
      <c r="K32" s="114"/>
      <c r="L32" s="114"/>
      <c r="M32" s="115"/>
      <c r="N32" s="115"/>
      <c r="O32" s="115"/>
      <c r="P32" s="58"/>
      <c r="Q32" s="14"/>
      <c r="R32" s="14"/>
      <c r="S32" s="15"/>
    </row>
    <row r="33" ht="62.25" customHeight="1">
      <c r="A33" t="s" s="116">
        <v>47</v>
      </c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73"/>
      <c r="Q33" s="118"/>
      <c r="R33" s="119"/>
      <c r="S33" s="15"/>
    </row>
    <row r="34" ht="56.45" customHeight="1">
      <c r="A34" s="120"/>
      <c r="B34" s="121"/>
      <c r="C34" s="121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56"/>
      <c r="O34" s="56"/>
      <c r="P34" s="56"/>
      <c r="Q34" s="14"/>
      <c r="R34" s="14"/>
      <c r="S34" s="15"/>
    </row>
    <row r="35" ht="73.5" customHeight="1">
      <c r="A35" s="122"/>
      <c r="B35" t="s" s="123">
        <v>48</v>
      </c>
      <c r="C35" s="124"/>
      <c r="D35" t="s" s="125">
        <v>49</v>
      </c>
      <c r="E35" t="s" s="126">
        <v>50</v>
      </c>
      <c r="F35" t="s" s="127">
        <v>51</v>
      </c>
      <c r="G35" t="s" s="126">
        <v>52</v>
      </c>
      <c r="H35" t="s" s="127">
        <v>53</v>
      </c>
      <c r="I35" t="s" s="128">
        <v>54</v>
      </c>
      <c r="J35" s="129"/>
      <c r="K35" t="s" s="130">
        <v>55</v>
      </c>
      <c r="L35" t="s" s="130">
        <v>56</v>
      </c>
      <c r="M35" t="s" s="130">
        <v>57</v>
      </c>
      <c r="N35" t="s" s="131">
        <v>58</v>
      </c>
      <c r="O35" s="132"/>
      <c r="P35" t="s" s="133">
        <v>59</v>
      </c>
      <c r="Q35" s="14"/>
      <c r="R35" s="14"/>
      <c r="S35" s="15"/>
    </row>
    <row r="36" ht="27" customHeight="1">
      <c r="A36" s="122"/>
      <c r="B36" s="134"/>
      <c r="C36" s="135"/>
      <c r="D36" s="136" cm="1">
        <f t="array" ref="D36">D5</f>
        <v>0</v>
      </c>
      <c r="E36" s="137" cm="1">
        <f t="array" ref="E36">H48</f>
        <v>0</v>
      </c>
      <c r="F36" s="137" cm="1">
        <f t="array" ref="F36">D8</f>
      </c>
      <c r="G36" s="137" cm="1">
        <f t="array" ref="G36">I48+K48</f>
        <v>0</v>
      </c>
      <c r="H36" s="138" cm="1">
        <f t="array" ref="H36">F48/E48</f>
      </c>
      <c r="I36" s="139" cm="1">
        <f t="array" ref="I36">H36-J6</f>
      </c>
      <c r="J36" s="140"/>
      <c r="K36" s="139" cm="1">
        <f t="array" ref="K36">K48/G36</f>
      </c>
      <c r="L36" s="140" cm="1">
        <f t="array" ref="L36">M48/G36</f>
      </c>
      <c r="M36" s="141" cm="1">
        <f t="array" ref="M36">N48/G36</f>
      </c>
      <c r="N36" s="142"/>
      <c r="O36" s="14"/>
      <c r="P36" s="14"/>
      <c r="Q36" s="14"/>
      <c r="R36" s="14"/>
      <c r="S36" s="15"/>
    </row>
    <row r="37" ht="15.6" customHeight="1">
      <c r="A37" s="55"/>
      <c r="B37" s="18"/>
      <c r="C37" s="18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14"/>
      <c r="O37" s="14"/>
      <c r="P37" s="14"/>
      <c r="Q37" s="14"/>
      <c r="R37" s="14"/>
      <c r="S37" s="15"/>
    </row>
    <row r="38" ht="15.6" customHeight="1">
      <c r="A38" s="55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"/>
      <c r="P38" s="14"/>
      <c r="Q38" s="14"/>
      <c r="R38" s="14"/>
      <c r="S38" s="15"/>
    </row>
    <row r="39" ht="57.95" customHeight="1">
      <c r="A39" s="122"/>
      <c r="B39" t="s" s="144">
        <v>60</v>
      </c>
      <c r="C39" s="145"/>
      <c r="D39" t="s" s="146">
        <v>40</v>
      </c>
      <c r="E39" t="s" s="146">
        <v>61</v>
      </c>
      <c r="F39" t="s" s="146">
        <v>62</v>
      </c>
      <c r="G39" t="s" s="146">
        <v>63</v>
      </c>
      <c r="H39" t="s" s="146">
        <v>64</v>
      </c>
      <c r="I39" t="s" s="146">
        <v>65</v>
      </c>
      <c r="J39" t="s" s="146">
        <v>66</v>
      </c>
      <c r="K39" t="s" s="146">
        <v>67</v>
      </c>
      <c r="L39" t="s" s="146">
        <v>68</v>
      </c>
      <c r="M39" t="s" s="146">
        <v>69</v>
      </c>
      <c r="N39" t="s" s="147">
        <v>70</v>
      </c>
      <c r="O39" s="13"/>
      <c r="P39" s="14"/>
      <c r="Q39" s="14"/>
      <c r="R39" t="s" s="148">
        <v>71</v>
      </c>
      <c r="S39" s="15"/>
    </row>
    <row r="40" ht="45.95" customHeight="1">
      <c r="A40" s="122"/>
      <c r="B40" s="149" cm="1">
        <f t="array" ref="B40">B23</f>
        <v>0</v>
      </c>
      <c r="C40" s="150"/>
      <c r="D40" s="151" cm="1">
        <f t="array" ref="D40">D23</f>
        <v>0</v>
      </c>
      <c r="E40" s="152"/>
      <c r="F40" s="153"/>
      <c r="G40" t="str" s="150" cm="1">
        <f t="array" ref="G40">_xlfn.IFERROR(F40/E40,"0")</f>
        <v>0</v>
      </c>
      <c r="H40" s="153"/>
      <c r="I40" s="153"/>
      <c r="J40" s="153"/>
      <c r="K40" s="153"/>
      <c r="L40" t="str" s="150" cm="1">
        <f t="array" ref="L40">_xlfn.IFERROR(K40/J40,"0")</f>
        <v>0</v>
      </c>
      <c r="M40" s="153"/>
      <c r="N40" s="154"/>
      <c r="O40" s="13"/>
      <c r="P40" s="14"/>
      <c r="Q40" s="14"/>
      <c r="R40" s="14"/>
      <c r="S40" s="15"/>
    </row>
    <row r="41" ht="45.95" customHeight="1">
      <c r="A41" s="122"/>
      <c r="B41" s="149" cm="1">
        <f t="array" ref="B41">B24</f>
        <v>0</v>
      </c>
      <c r="C41" s="150"/>
      <c r="D41" s="151" cm="1">
        <f t="array" ref="D41">D24</f>
        <v>0</v>
      </c>
      <c r="E41" s="152"/>
      <c r="F41" s="153"/>
      <c r="G41" t="str" s="150" cm="1">
        <f t="array" ref="G41">_xlfn.IFERROR(F41/E41,"0")</f>
        <v>0</v>
      </c>
      <c r="H41" s="153"/>
      <c r="I41" s="153"/>
      <c r="J41" s="153"/>
      <c r="K41" s="153"/>
      <c r="L41" t="str" s="150" cm="1">
        <f t="array" ref="L41">_xlfn.IFERROR(K41/J41,"0")</f>
        <v>0</v>
      </c>
      <c r="M41" s="153"/>
      <c r="N41" s="154"/>
      <c r="O41" s="13"/>
      <c r="P41" s="14"/>
      <c r="Q41" s="14"/>
      <c r="R41" s="14"/>
      <c r="S41" s="15"/>
    </row>
    <row r="42" ht="45.95" customHeight="1">
      <c r="A42" s="122"/>
      <c r="B42" s="149" cm="1">
        <f t="array" ref="B42">B25</f>
        <v>0</v>
      </c>
      <c r="C42" s="150"/>
      <c r="D42" s="151" cm="1">
        <f t="array" ref="D42">D25</f>
        <v>0</v>
      </c>
      <c r="E42" s="152"/>
      <c r="F42" s="153"/>
      <c r="G42" t="str" s="150" cm="1">
        <f t="array" ref="G42">_xlfn.IFERROR(F42/E42,"0")</f>
        <v>0</v>
      </c>
      <c r="H42" s="153"/>
      <c r="I42" s="153"/>
      <c r="J42" s="153"/>
      <c r="K42" s="153"/>
      <c r="L42" t="str" s="150" cm="1">
        <f t="array" ref="L42">_xlfn.IFERROR(K42/J42,"0")</f>
        <v>0</v>
      </c>
      <c r="M42" s="153"/>
      <c r="N42" s="154"/>
      <c r="O42" s="13"/>
      <c r="P42" s="14"/>
      <c r="Q42" s="14"/>
      <c r="R42" s="14"/>
      <c r="S42" s="15"/>
    </row>
    <row r="43" ht="45.95" customHeight="1">
      <c r="A43" s="122"/>
      <c r="B43" s="149" cm="1">
        <f t="array" ref="B43">B26</f>
        <v>0</v>
      </c>
      <c r="C43" s="153"/>
      <c r="D43" s="151" cm="1">
        <f t="array" ref="D43">D26</f>
        <v>0</v>
      </c>
      <c r="E43" s="152"/>
      <c r="F43" s="153"/>
      <c r="G43" t="str" s="150" cm="1">
        <f t="array" ref="G43">_xlfn.IFERROR(F43/E43,"0")</f>
        <v>0</v>
      </c>
      <c r="H43" s="153"/>
      <c r="I43" s="153"/>
      <c r="J43" s="153"/>
      <c r="K43" s="153"/>
      <c r="L43" t="str" s="150" cm="1">
        <f t="array" ref="L43">_xlfn.IFERROR(K43/J43,"0")</f>
        <v>0</v>
      </c>
      <c r="M43" s="153"/>
      <c r="N43" s="154"/>
      <c r="O43" s="13"/>
      <c r="P43" s="14"/>
      <c r="Q43" s="14"/>
      <c r="R43" s="14"/>
      <c r="S43" s="15"/>
    </row>
    <row r="44" ht="45.95" customHeight="1">
      <c r="A44" s="122"/>
      <c r="B44" s="149" cm="1">
        <f t="array" ref="B44">B27</f>
        <v>0</v>
      </c>
      <c r="C44" s="153"/>
      <c r="D44" s="151" cm="1">
        <f t="array" ref="D44">D27</f>
        <v>0</v>
      </c>
      <c r="E44" s="152"/>
      <c r="F44" s="153"/>
      <c r="G44" t="str" s="150" cm="1">
        <f t="array" ref="G44">_xlfn.IFERROR(F44/E44,"0")</f>
        <v>0</v>
      </c>
      <c r="H44" s="153"/>
      <c r="I44" s="153"/>
      <c r="J44" s="153"/>
      <c r="K44" s="153"/>
      <c r="L44" t="str" s="150" cm="1">
        <f t="array" ref="L44">_xlfn.IFERROR(K44/J44,"0")</f>
        <v>0</v>
      </c>
      <c r="M44" s="153"/>
      <c r="N44" s="154"/>
      <c r="O44" s="13"/>
      <c r="P44" s="14"/>
      <c r="Q44" s="14"/>
      <c r="R44" s="14"/>
      <c r="S44" s="15"/>
    </row>
    <row r="45" ht="45.95" customHeight="1">
      <c r="A45" s="122"/>
      <c r="B45" s="149" cm="1">
        <f t="array" ref="B45">B28</f>
        <v>0</v>
      </c>
      <c r="C45" s="153"/>
      <c r="D45" s="151" cm="1">
        <f t="array" ref="D45">D28</f>
        <v>0</v>
      </c>
      <c r="E45" s="152"/>
      <c r="F45" s="153"/>
      <c r="G45" t="str" s="150" cm="1">
        <f t="array" ref="G45">_xlfn.IFERROR(F45/E45,"0")</f>
        <v>0</v>
      </c>
      <c r="H45" s="153"/>
      <c r="I45" s="153"/>
      <c r="J45" s="153"/>
      <c r="K45" s="153"/>
      <c r="L45" t="str" s="150" cm="1">
        <f t="array" ref="L45">_xlfn.IFERROR(K45/J45,"0")</f>
        <v>0</v>
      </c>
      <c r="M45" s="153"/>
      <c r="N45" s="154"/>
      <c r="O45" s="13"/>
      <c r="P45" s="14"/>
      <c r="Q45" s="14"/>
      <c r="R45" s="14"/>
      <c r="S45" s="15"/>
    </row>
    <row r="46" ht="45.95" customHeight="1">
      <c r="A46" s="122"/>
      <c r="B46" s="149" cm="1">
        <f t="array" ref="B46">B29</f>
        <v>0</v>
      </c>
      <c r="C46" s="153"/>
      <c r="D46" s="151" cm="1">
        <f t="array" ref="D46">D29</f>
        <v>0</v>
      </c>
      <c r="E46" s="152"/>
      <c r="F46" s="153"/>
      <c r="G46" t="str" s="150" cm="1">
        <f t="array" ref="G46">_xlfn.IFERROR(F46/E46,"0")</f>
        <v>0</v>
      </c>
      <c r="H46" s="153"/>
      <c r="I46" s="153"/>
      <c r="J46" s="153"/>
      <c r="K46" s="153"/>
      <c r="L46" t="str" s="150" cm="1">
        <f t="array" ref="L46">_xlfn.IFERROR(K46/J46,"0")</f>
        <v>0</v>
      </c>
      <c r="M46" s="153"/>
      <c r="N46" s="154"/>
      <c r="O46" s="13"/>
      <c r="P46" s="14"/>
      <c r="Q46" s="14"/>
      <c r="R46" s="14"/>
      <c r="S46" s="15"/>
    </row>
    <row r="47" ht="45.95" customHeight="1">
      <c r="A47" s="122"/>
      <c r="B47" s="149" cm="1">
        <f t="array" ref="B47">B30</f>
        <v>0</v>
      </c>
      <c r="C47" s="153"/>
      <c r="D47" s="151" cm="1">
        <f t="array" ref="D47">D30</f>
        <v>0</v>
      </c>
      <c r="E47" s="152"/>
      <c r="F47" s="153"/>
      <c r="G47" t="str" s="150" cm="1">
        <f t="array" ref="G47">_xlfn.IFERROR(F47/E47,"0")</f>
        <v>0</v>
      </c>
      <c r="H47" s="153"/>
      <c r="I47" s="153"/>
      <c r="J47" s="153"/>
      <c r="K47" s="153"/>
      <c r="L47" t="str" s="150" cm="1">
        <f t="array" ref="L47">_xlfn.IFERROR(K47/J47,"0")</f>
        <v>0</v>
      </c>
      <c r="M47" s="153"/>
      <c r="N47" s="154"/>
      <c r="O47" s="13"/>
      <c r="P47" s="14"/>
      <c r="Q47" s="14"/>
      <c r="R47" s="14"/>
      <c r="S47" s="15"/>
    </row>
    <row r="48" ht="45.95" customHeight="1">
      <c r="A48" s="155"/>
      <c r="B48" t="s" s="156">
        <v>35</v>
      </c>
      <c r="C48" s="157"/>
      <c r="D48" s="158" cm="1">
        <f t="array" ref="D48">SUM(D40:D42)</f>
        <v>0</v>
      </c>
      <c r="E48" s="159" cm="1">
        <f t="array" ref="E48">SUM(E40:E47)</f>
        <v>0</v>
      </c>
      <c r="F48" s="159" cm="1">
        <f t="array" ref="F48">SUM(F40:F47)</f>
        <v>0</v>
      </c>
      <c r="G48" t="str" s="157" cm="1">
        <f t="array" ref="G48">_xlfn.IFERROR(F48/E48,"0")</f>
        <v>0</v>
      </c>
      <c r="H48" s="159" cm="1">
        <f t="array" ref="H48">SUM(H40:H47)</f>
        <v>0</v>
      </c>
      <c r="I48" s="159" cm="1">
        <f t="array" ref="I48">SUM(I40:I47)</f>
        <v>0</v>
      </c>
      <c r="J48" s="159" cm="1">
        <f t="array" ref="J48">SUM(J40:J47)</f>
        <v>0</v>
      </c>
      <c r="K48" s="159" cm="1">
        <f t="array" ref="K48">SUM(K40:K47)</f>
        <v>0</v>
      </c>
      <c r="L48" t="str" s="157" cm="1">
        <f t="array" ref="L48">_xlfn.IFERROR(K48/J48,"0")</f>
        <v>0</v>
      </c>
      <c r="M48" s="159" cm="1">
        <f t="array" ref="M48">SUM(M40:M47)</f>
        <v>0</v>
      </c>
      <c r="N48" s="159" cm="1">
        <f t="array" ref="N48">SUM(N40:N47)</f>
        <v>0</v>
      </c>
      <c r="O48" s="160"/>
      <c r="P48" s="161"/>
      <c r="Q48" s="162">
        <v>3</v>
      </c>
      <c r="R48" s="161"/>
      <c r="S48" s="163"/>
    </row>
  </sheetData>
  <mergeCells count="90">
    <mergeCell ref="N12:O12"/>
    <mergeCell ref="B42:C42"/>
    <mergeCell ref="B41:C41"/>
    <mergeCell ref="B39:C39"/>
    <mergeCell ref="B40:C40"/>
    <mergeCell ref="B35:C36"/>
    <mergeCell ref="I35:J35"/>
    <mergeCell ref="I36:J36"/>
    <mergeCell ref="D25:E25"/>
    <mergeCell ref="D26:E26"/>
    <mergeCell ref="D27:E27"/>
    <mergeCell ref="C1:E1"/>
    <mergeCell ref="B4:D4"/>
    <mergeCell ref="B5:C5"/>
    <mergeCell ref="B6:C6"/>
    <mergeCell ref="B7:C7"/>
    <mergeCell ref="B48:C48"/>
    <mergeCell ref="L10:M10"/>
    <mergeCell ref="N10:O10"/>
    <mergeCell ref="B11:E11"/>
    <mergeCell ref="A33:P33"/>
    <mergeCell ref="M22:P31"/>
    <mergeCell ref="B22:C22"/>
    <mergeCell ref="B31:C31"/>
    <mergeCell ref="L12:M12"/>
    <mergeCell ref="L11:M11"/>
    <mergeCell ref="N11:O11"/>
    <mergeCell ref="L14:M14"/>
    <mergeCell ref="N14:O14"/>
    <mergeCell ref="L8:O8"/>
    <mergeCell ref="L4:N4"/>
    <mergeCell ref="L5:M5"/>
    <mergeCell ref="L6:M6"/>
    <mergeCell ref="L7:M7"/>
    <mergeCell ref="G11:J11"/>
    <mergeCell ref="D12:E12"/>
    <mergeCell ref="D13:E13"/>
    <mergeCell ref="I12:J12"/>
    <mergeCell ref="G4:J4"/>
    <mergeCell ref="G5:I5"/>
    <mergeCell ref="G6:I6"/>
    <mergeCell ref="G7:I7"/>
    <mergeCell ref="G8:I8"/>
    <mergeCell ref="I30:J30"/>
    <mergeCell ref="I31:J31"/>
    <mergeCell ref="D24:E24"/>
    <mergeCell ref="D30:E30"/>
    <mergeCell ref="D31:E31"/>
    <mergeCell ref="G31:H31"/>
    <mergeCell ref="D28:E28"/>
    <mergeCell ref="D29:E29"/>
    <mergeCell ref="O1:P1"/>
    <mergeCell ref="A2:P2"/>
    <mergeCell ref="I24:J24"/>
    <mergeCell ref="G22:H22"/>
    <mergeCell ref="B12:C12"/>
    <mergeCell ref="D22:E22"/>
    <mergeCell ref="D23:E23"/>
    <mergeCell ref="G9:J9"/>
    <mergeCell ref="B8:C8"/>
    <mergeCell ref="I22:J22"/>
    <mergeCell ref="I23:J23"/>
    <mergeCell ref="B13:C13"/>
    <mergeCell ref="G12:H12"/>
    <mergeCell ref="I25:J25"/>
    <mergeCell ref="I26:J26"/>
    <mergeCell ref="I27:J27"/>
    <mergeCell ref="I28:J28"/>
    <mergeCell ref="I29:J29"/>
    <mergeCell ref="B47:C47"/>
    <mergeCell ref="B46:C46"/>
    <mergeCell ref="B45:C45"/>
    <mergeCell ref="B44:C44"/>
    <mergeCell ref="B43:C43"/>
    <mergeCell ref="G30:H30"/>
    <mergeCell ref="G29:H29"/>
    <mergeCell ref="G28:H28"/>
    <mergeCell ref="G27:H27"/>
    <mergeCell ref="G26:H26"/>
    <mergeCell ref="G25:H25"/>
    <mergeCell ref="G24:H24"/>
    <mergeCell ref="G23:H23"/>
    <mergeCell ref="B30:C30"/>
    <mergeCell ref="B29:C29"/>
    <mergeCell ref="B28:C28"/>
    <mergeCell ref="B27:C27"/>
    <mergeCell ref="B26:C26"/>
    <mergeCell ref="B25:C25"/>
    <mergeCell ref="B24:C24"/>
    <mergeCell ref="B23:C23"/>
  </mergeCells>
  <pageMargins left="0.25" right="0.25" top="0.32" bottom="0.29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HR36"/>
  <sheetViews>
    <sheetView workbookViewId="0" showGridLines="0" defaultGridColor="1"/>
  </sheetViews>
  <sheetFormatPr defaultColWidth="16.1667" defaultRowHeight="54.75" customHeight="1" outlineLevelRow="0" outlineLevelCol="0"/>
  <cols>
    <col min="1" max="226" width="16.1719" style="284" customWidth="1"/>
    <col min="227" max="16384" width="16.1719" style="284" customWidth="1"/>
  </cols>
  <sheetData>
    <row r="1" ht="94.5" customHeight="1">
      <c r="A1" s="165"/>
      <c r="B1" s="166"/>
      <c r="C1" t="s" s="167">
        <v>73</v>
      </c>
      <c r="D1" s="168"/>
      <c r="E1" s="168"/>
      <c r="F1" s="168"/>
      <c r="G1" s="168"/>
      <c r="H1" s="169"/>
      <c r="I1" t="s" s="170">
        <v>1</v>
      </c>
      <c r="J1" s="171"/>
      <c r="K1" t="s" s="172">
        <v>2</v>
      </c>
      <c r="L1" s="173"/>
      <c r="M1" s="174"/>
      <c r="N1" t="s" s="175">
        <v>4</v>
      </c>
      <c r="O1" s="176"/>
      <c r="P1" s="177"/>
      <c r="Q1" s="178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80"/>
    </row>
    <row r="2" ht="54.75" customHeight="1">
      <c r="A2" t="s" s="181">
        <v>74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3"/>
      <c r="Q2" s="184"/>
      <c r="R2" s="185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7"/>
    </row>
    <row r="3" ht="54.75" customHeight="1">
      <c r="A3" s="188"/>
      <c r="B3" s="189"/>
      <c r="C3" s="189"/>
      <c r="D3" s="189"/>
      <c r="E3" s="189"/>
      <c r="F3" s="189"/>
      <c r="G3" s="190"/>
      <c r="H3" s="190"/>
      <c r="I3" s="189"/>
      <c r="J3" s="189"/>
      <c r="K3" s="189"/>
      <c r="L3" s="189"/>
      <c r="M3" s="189"/>
      <c r="N3" s="189"/>
      <c r="O3" s="189"/>
      <c r="P3" s="189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7"/>
    </row>
    <row r="4" ht="54.75" customHeight="1">
      <c r="A4" s="191"/>
      <c r="B4" t="s" s="192">
        <v>40</v>
      </c>
      <c r="C4" t="s" s="193">
        <v>75</v>
      </c>
      <c r="D4" t="s" s="193">
        <v>76</v>
      </c>
      <c r="E4" t="s" s="193">
        <v>77</v>
      </c>
      <c r="F4" t="s" s="194">
        <v>78</v>
      </c>
      <c r="G4" s="195"/>
      <c r="H4" s="196"/>
      <c r="I4" t="s" s="197">
        <v>79</v>
      </c>
      <c r="J4" s="198"/>
      <c r="K4" s="198"/>
      <c r="L4" s="198"/>
      <c r="M4" s="198"/>
      <c r="N4" s="198"/>
      <c r="O4" s="198"/>
      <c r="P4" s="199"/>
      <c r="Q4" s="195"/>
      <c r="R4" s="200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  <c r="FD4" s="186"/>
      <c r="FE4" s="186"/>
      <c r="FF4" s="186"/>
      <c r="FG4" s="186"/>
      <c r="FH4" s="186"/>
      <c r="FI4" s="186"/>
      <c r="FJ4" s="186"/>
      <c r="FK4" s="186"/>
      <c r="FL4" s="186"/>
      <c r="FM4" s="186"/>
      <c r="FN4" s="186"/>
      <c r="FO4" s="186"/>
      <c r="FP4" s="186"/>
      <c r="FQ4" s="186"/>
      <c r="FR4" s="186"/>
      <c r="FS4" s="186"/>
      <c r="FT4" s="186"/>
      <c r="FU4" s="186"/>
      <c r="FV4" s="186"/>
      <c r="FW4" s="186"/>
      <c r="FX4" s="186"/>
      <c r="FY4" s="186"/>
      <c r="FZ4" s="186"/>
      <c r="GA4" s="186"/>
      <c r="GB4" s="186"/>
      <c r="GC4" s="186"/>
      <c r="GD4" s="186"/>
      <c r="GE4" s="186"/>
      <c r="GF4" s="186"/>
      <c r="GG4" s="186"/>
      <c r="GH4" s="186"/>
      <c r="GI4" s="186"/>
      <c r="GJ4" s="186"/>
      <c r="GK4" s="186"/>
      <c r="GL4" s="186"/>
      <c r="GM4" s="186"/>
      <c r="GN4" s="186"/>
      <c r="GO4" s="186"/>
      <c r="GP4" s="186"/>
      <c r="GQ4" s="186"/>
      <c r="GR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  <c r="HL4" s="186"/>
      <c r="HM4" s="186"/>
      <c r="HN4" s="186"/>
      <c r="HO4" s="186"/>
      <c r="HP4" s="186"/>
      <c r="HQ4" s="186"/>
      <c r="HR4" s="187"/>
    </row>
    <row r="5" ht="54.75" customHeight="1">
      <c r="A5" s="191"/>
      <c r="B5" s="201" cm="1">
        <f t="array" ref="B5">'SÁBADO'!D31</f>
        <v>0</v>
      </c>
      <c r="C5" s="202" cm="1">
        <f t="array" ref="C5">'SÁBADO'!D5</f>
        <v>0</v>
      </c>
      <c r="D5" s="202" cm="1">
        <f t="array" ref="D5">'SÁBADO'!D8</f>
      </c>
      <c r="E5" s="202" cm="1">
        <f t="array" ref="E5">'SÁBADO'!D12</f>
      </c>
      <c r="F5" s="203" cm="1">
        <f t="array" ref="F5">'SÁBADO'!D13</f>
      </c>
      <c r="G5" s="195"/>
      <c r="H5" s="196"/>
      <c r="I5" s="204"/>
      <c r="J5" s="205"/>
      <c r="K5" s="205"/>
      <c r="L5" s="205"/>
      <c r="M5" s="205"/>
      <c r="N5" s="205"/>
      <c r="O5" s="205"/>
      <c r="P5" s="206"/>
      <c r="Q5" s="195"/>
      <c r="R5" s="200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/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/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86"/>
      <c r="GI5" s="186"/>
      <c r="GJ5" s="186"/>
      <c r="GK5" s="186"/>
      <c r="GL5" s="186"/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/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7"/>
    </row>
    <row r="6" ht="54.75" customHeight="1">
      <c r="A6" s="207"/>
      <c r="B6" s="208"/>
      <c r="C6" s="208"/>
      <c r="D6" s="208"/>
      <c r="E6" s="208"/>
      <c r="F6" s="208"/>
      <c r="G6" s="186"/>
      <c r="H6" s="186"/>
      <c r="I6" s="208"/>
      <c r="J6" s="208"/>
      <c r="K6" s="208"/>
      <c r="L6" s="208"/>
      <c r="M6" s="208"/>
      <c r="N6" s="208"/>
      <c r="O6" s="208"/>
      <c r="P6" s="208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/>
      <c r="ET6" s="186"/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/>
      <c r="HC6" s="186"/>
      <c r="HD6" s="186"/>
      <c r="HE6" s="186"/>
      <c r="HF6" s="186"/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7"/>
    </row>
    <row r="7" ht="54.75" customHeight="1">
      <c r="A7" s="191"/>
      <c r="B7" t="s" s="209">
        <v>80</v>
      </c>
      <c r="C7" s="210"/>
      <c r="D7" s="210"/>
      <c r="E7" s="210"/>
      <c r="F7" s="211"/>
      <c r="G7" s="195"/>
      <c r="H7" s="196"/>
      <c r="I7" t="s" s="209">
        <v>81</v>
      </c>
      <c r="J7" s="210"/>
      <c r="K7" s="210"/>
      <c r="L7" s="210"/>
      <c r="M7" s="210"/>
      <c r="N7" s="210"/>
      <c r="O7" s="210"/>
      <c r="P7" s="211"/>
      <c r="Q7" s="195"/>
      <c r="R7" s="212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  <c r="DM7" s="186"/>
      <c r="DN7" s="186"/>
      <c r="DO7" s="186"/>
      <c r="DP7" s="186"/>
      <c r="DQ7" s="186"/>
      <c r="DR7" s="186"/>
      <c r="DS7" s="186"/>
      <c r="DT7" s="186"/>
      <c r="DU7" s="186"/>
      <c r="DV7" s="186"/>
      <c r="DW7" s="186"/>
      <c r="DX7" s="186"/>
      <c r="DY7" s="186"/>
      <c r="DZ7" s="186"/>
      <c r="EA7" s="186"/>
      <c r="EB7" s="186"/>
      <c r="EC7" s="186"/>
      <c r="ED7" s="186"/>
      <c r="EE7" s="186"/>
      <c r="EF7" s="186"/>
      <c r="EG7" s="186"/>
      <c r="EH7" s="186"/>
      <c r="EI7" s="186"/>
      <c r="EJ7" s="186"/>
      <c r="EK7" s="186"/>
      <c r="EL7" s="186"/>
      <c r="EM7" s="186"/>
      <c r="EN7" s="186"/>
      <c r="EO7" s="186"/>
      <c r="EP7" s="186"/>
      <c r="EQ7" s="186"/>
      <c r="ER7" s="186"/>
      <c r="ES7" s="186"/>
      <c r="ET7" s="186"/>
      <c r="EU7" s="186"/>
      <c r="EV7" s="186"/>
      <c r="EW7" s="186"/>
      <c r="EX7" s="186"/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6"/>
      <c r="FS7" s="186"/>
      <c r="FT7" s="186"/>
      <c r="FU7" s="186"/>
      <c r="FV7" s="186"/>
      <c r="FW7" s="186"/>
      <c r="FX7" s="186"/>
      <c r="FY7" s="186"/>
      <c r="FZ7" s="186"/>
      <c r="GA7" s="186"/>
      <c r="GB7" s="186"/>
      <c r="GC7" s="186"/>
      <c r="GD7" s="186"/>
      <c r="GE7" s="186"/>
      <c r="GF7" s="186"/>
      <c r="GG7" s="186"/>
      <c r="GH7" s="186"/>
      <c r="GI7" s="186"/>
      <c r="GJ7" s="186"/>
      <c r="GK7" s="186"/>
      <c r="GL7" s="186"/>
      <c r="GM7" s="186"/>
      <c r="GN7" s="186"/>
      <c r="GO7" s="186"/>
      <c r="GP7" s="186"/>
      <c r="GQ7" s="186"/>
      <c r="GR7" s="186"/>
      <c r="GS7" s="186"/>
      <c r="GT7" s="186"/>
      <c r="GU7" s="186"/>
      <c r="GV7" s="186"/>
      <c r="GW7" s="186"/>
      <c r="GX7" s="186"/>
      <c r="GY7" s="186"/>
      <c r="GZ7" s="186"/>
      <c r="HA7" s="186"/>
      <c r="HB7" s="186"/>
      <c r="HC7" s="186"/>
      <c r="HD7" s="186"/>
      <c r="HE7" s="186"/>
      <c r="HF7" s="186"/>
      <c r="HG7" s="186"/>
      <c r="HH7" s="186"/>
      <c r="HI7" s="186"/>
      <c r="HJ7" s="186"/>
      <c r="HK7" s="186"/>
      <c r="HL7" s="186"/>
      <c r="HM7" s="186"/>
      <c r="HN7" s="186"/>
      <c r="HO7" s="186"/>
      <c r="HP7" s="186"/>
      <c r="HQ7" s="186"/>
      <c r="HR7" s="187"/>
    </row>
    <row r="8" ht="54.75" customHeight="1">
      <c r="A8" s="207"/>
      <c r="B8" s="213"/>
      <c r="C8" s="213"/>
      <c r="D8" s="213"/>
      <c r="E8" s="213"/>
      <c r="F8" s="213"/>
      <c r="G8" s="186"/>
      <c r="H8" s="186"/>
      <c r="I8" s="213"/>
      <c r="J8" s="213"/>
      <c r="K8" s="213"/>
      <c r="L8" s="213"/>
      <c r="M8" s="213"/>
      <c r="N8" s="213"/>
      <c r="O8" s="213"/>
      <c r="P8" s="213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  <c r="DM8" s="186"/>
      <c r="DN8" s="186"/>
      <c r="DO8" s="186"/>
      <c r="DP8" s="186"/>
      <c r="DQ8" s="186"/>
      <c r="DR8" s="186"/>
      <c r="DS8" s="186"/>
      <c r="DT8" s="186"/>
      <c r="DU8" s="186"/>
      <c r="DV8" s="186"/>
      <c r="DW8" s="186"/>
      <c r="DX8" s="186"/>
      <c r="DY8" s="186"/>
      <c r="DZ8" s="186"/>
      <c r="EA8" s="186"/>
      <c r="EB8" s="186"/>
      <c r="EC8" s="186"/>
      <c r="ED8" s="186"/>
      <c r="EE8" s="186"/>
      <c r="EF8" s="186"/>
      <c r="EG8" s="186"/>
      <c r="EH8" s="186"/>
      <c r="EI8" s="186"/>
      <c r="EJ8" s="186"/>
      <c r="EK8" s="186"/>
      <c r="EL8" s="186"/>
      <c r="EM8" s="186"/>
      <c r="EN8" s="186"/>
      <c r="EO8" s="186"/>
      <c r="EP8" s="186"/>
      <c r="EQ8" s="186"/>
      <c r="ER8" s="186"/>
      <c r="ES8" s="186"/>
      <c r="ET8" s="186"/>
      <c r="EU8" s="186"/>
      <c r="EV8" s="186"/>
      <c r="EW8" s="186"/>
      <c r="EX8" s="186"/>
      <c r="EY8" s="186"/>
      <c r="EZ8" s="186"/>
      <c r="FA8" s="186"/>
      <c r="FB8" s="186"/>
      <c r="FC8" s="186"/>
      <c r="FD8" s="186"/>
      <c r="FE8" s="186"/>
      <c r="FF8" s="186"/>
      <c r="FG8" s="186"/>
      <c r="FH8" s="186"/>
      <c r="FI8" s="186"/>
      <c r="FJ8" s="186"/>
      <c r="FK8" s="186"/>
      <c r="FL8" s="186"/>
      <c r="FM8" s="186"/>
      <c r="FN8" s="186"/>
      <c r="FO8" s="186"/>
      <c r="FP8" s="186"/>
      <c r="FQ8" s="186"/>
      <c r="FR8" s="186"/>
      <c r="FS8" s="186"/>
      <c r="FT8" s="186"/>
      <c r="FU8" s="186"/>
      <c r="FV8" s="186"/>
      <c r="FW8" s="186"/>
      <c r="FX8" s="186"/>
      <c r="FY8" s="186"/>
      <c r="FZ8" s="186"/>
      <c r="GA8" s="186"/>
      <c r="GB8" s="186"/>
      <c r="GC8" s="186"/>
      <c r="GD8" s="186"/>
      <c r="GE8" s="186"/>
      <c r="GF8" s="186"/>
      <c r="GG8" s="186"/>
      <c r="GH8" s="186"/>
      <c r="GI8" s="186"/>
      <c r="GJ8" s="186"/>
      <c r="GK8" s="186"/>
      <c r="GL8" s="186"/>
      <c r="GM8" s="186"/>
      <c r="GN8" s="186"/>
      <c r="GO8" s="186"/>
      <c r="GP8" s="186"/>
      <c r="GQ8" s="186"/>
      <c r="GR8" s="186"/>
      <c r="GS8" s="186"/>
      <c r="GT8" s="186"/>
      <c r="GU8" s="186"/>
      <c r="GV8" s="186"/>
      <c r="GW8" s="186"/>
      <c r="GX8" s="186"/>
      <c r="GY8" s="186"/>
      <c r="GZ8" s="186"/>
      <c r="HA8" s="186"/>
      <c r="HB8" s="186"/>
      <c r="HC8" s="186"/>
      <c r="HD8" s="186"/>
      <c r="HE8" s="186"/>
      <c r="HF8" s="186"/>
      <c r="HG8" s="186"/>
      <c r="HH8" s="186"/>
      <c r="HI8" s="186"/>
      <c r="HJ8" s="186"/>
      <c r="HK8" s="186"/>
      <c r="HL8" s="186"/>
      <c r="HM8" s="186"/>
      <c r="HN8" s="186"/>
      <c r="HO8" s="186"/>
      <c r="HP8" s="186"/>
      <c r="HQ8" s="186"/>
      <c r="HR8" s="187"/>
    </row>
    <row r="9" ht="54.75" customHeight="1">
      <c r="A9" s="207"/>
      <c r="B9" t="s" s="214">
        <v>82</v>
      </c>
      <c r="C9" s="215"/>
      <c r="D9" s="215"/>
      <c r="E9" s="215"/>
      <c r="F9" s="216"/>
      <c r="G9" s="186"/>
      <c r="H9" s="186"/>
      <c r="I9" t="s" s="217">
        <v>83</v>
      </c>
      <c r="J9" s="218"/>
      <c r="K9" s="218"/>
      <c r="L9" s="218"/>
      <c r="M9" s="218"/>
      <c r="N9" s="218"/>
      <c r="O9" s="218"/>
      <c r="P9" s="215"/>
      <c r="Q9" s="186"/>
      <c r="R9" s="215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7"/>
    </row>
    <row r="10" ht="54.75" customHeight="1">
      <c r="A10" s="207"/>
      <c r="B10" t="s" s="214">
        <v>84</v>
      </c>
      <c r="C10" s="215"/>
      <c r="D10" s="215"/>
      <c r="E10" s="215"/>
      <c r="F10" s="219"/>
      <c r="G10" s="186"/>
      <c r="H10" s="186"/>
      <c r="I10" t="s" s="220">
        <v>85</v>
      </c>
      <c r="J10" s="221"/>
      <c r="K10" s="221"/>
      <c r="L10" s="221"/>
      <c r="M10" s="221"/>
      <c r="N10" s="221"/>
      <c r="O10" s="221"/>
      <c r="P10" s="222"/>
      <c r="Q10" s="186"/>
      <c r="R10" s="222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  <c r="DM10" s="186"/>
      <c r="DN10" s="186"/>
      <c r="DO10" s="186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6"/>
      <c r="EP10" s="186"/>
      <c r="EQ10" s="186"/>
      <c r="ER10" s="186"/>
      <c r="ES10" s="186"/>
      <c r="ET10" s="186"/>
      <c r="EU10" s="186"/>
      <c r="EV10" s="186"/>
      <c r="EW10" s="186"/>
      <c r="EX10" s="186"/>
      <c r="EY10" s="186"/>
      <c r="EZ10" s="186"/>
      <c r="FA10" s="186"/>
      <c r="FB10" s="186"/>
      <c r="FC10" s="186"/>
      <c r="FD10" s="186"/>
      <c r="FE10" s="186"/>
      <c r="FF10" s="186"/>
      <c r="FG10" s="186"/>
      <c r="FH10" s="186"/>
      <c r="FI10" s="186"/>
      <c r="FJ10" s="186"/>
      <c r="FK10" s="186"/>
      <c r="FL10" s="186"/>
      <c r="FM10" s="186"/>
      <c r="FN10" s="186"/>
      <c r="FO10" s="186"/>
      <c r="FP10" s="186"/>
      <c r="FQ10" s="186"/>
      <c r="FR10" s="186"/>
      <c r="FS10" s="186"/>
      <c r="FT10" s="186"/>
      <c r="FU10" s="186"/>
      <c r="FV10" s="186"/>
      <c r="FW10" s="186"/>
      <c r="FX10" s="186"/>
      <c r="FY10" s="186"/>
      <c r="FZ10" s="186"/>
      <c r="GA10" s="186"/>
      <c r="GB10" s="186"/>
      <c r="GC10" s="186"/>
      <c r="GD10" s="186"/>
      <c r="GE10" s="186"/>
      <c r="GF10" s="186"/>
      <c r="GG10" s="186"/>
      <c r="GH10" s="186"/>
      <c r="GI10" s="186"/>
      <c r="GJ10" s="186"/>
      <c r="GK10" s="186"/>
      <c r="GL10" s="186"/>
      <c r="GM10" s="186"/>
      <c r="GN10" s="186"/>
      <c r="GO10" s="186"/>
      <c r="GP10" s="186"/>
      <c r="GQ10" s="186"/>
      <c r="GR10" s="186"/>
      <c r="GS10" s="186"/>
      <c r="GT10" s="186"/>
      <c r="GU10" s="186"/>
      <c r="GV10" s="186"/>
      <c r="GW10" s="186"/>
      <c r="GX10" s="186"/>
      <c r="GY10" s="186"/>
      <c r="GZ10" s="186"/>
      <c r="HA10" s="186"/>
      <c r="HB10" s="186"/>
      <c r="HC10" s="186"/>
      <c r="HD10" s="186"/>
      <c r="HE10" s="186"/>
      <c r="HF10" s="186"/>
      <c r="HG10" s="186"/>
      <c r="HH10" s="186"/>
      <c r="HI10" s="186"/>
      <c r="HJ10" s="186"/>
      <c r="HK10" s="186"/>
      <c r="HL10" s="186"/>
      <c r="HM10" s="186"/>
      <c r="HN10" s="186"/>
      <c r="HO10" s="186"/>
      <c r="HP10" s="186"/>
      <c r="HQ10" s="186"/>
      <c r="HR10" s="187"/>
    </row>
    <row r="11" ht="54.75" customHeight="1">
      <c r="A11" s="207"/>
      <c r="B11" t="s" s="214">
        <v>86</v>
      </c>
      <c r="C11" s="215"/>
      <c r="D11" s="215"/>
      <c r="E11" s="215"/>
      <c r="F11" s="219"/>
      <c r="G11" s="186"/>
      <c r="H11" s="186"/>
      <c r="I11" t="s" s="220">
        <v>87</v>
      </c>
      <c r="J11" s="221"/>
      <c r="K11" s="221"/>
      <c r="L11" s="221"/>
      <c r="M11" s="221"/>
      <c r="N11" s="221"/>
      <c r="O11" s="221"/>
      <c r="P11" s="222"/>
      <c r="Q11" s="186"/>
      <c r="R11" s="222"/>
      <c r="S11" s="186"/>
      <c r="T11" s="186"/>
      <c r="U11" s="186"/>
      <c r="V11" s="186"/>
      <c r="W11" s="186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/>
      <c r="ER11" s="186"/>
      <c r="ES11" s="186"/>
      <c r="ET11" s="186"/>
      <c r="EU11" s="186"/>
      <c r="EV11" s="186"/>
      <c r="EW11" s="186"/>
      <c r="EX11" s="186"/>
      <c r="EY11" s="186"/>
      <c r="EZ11" s="186"/>
      <c r="FA11" s="186"/>
      <c r="FB11" s="186"/>
      <c r="FC11" s="186"/>
      <c r="FD11" s="186"/>
      <c r="FE11" s="186"/>
      <c r="FF11" s="186"/>
      <c r="FG11" s="186"/>
      <c r="FH11" s="186"/>
      <c r="FI11" s="186"/>
      <c r="FJ11" s="186"/>
      <c r="FK11" s="186"/>
      <c r="FL11" s="186"/>
      <c r="FM11" s="186"/>
      <c r="FN11" s="186"/>
      <c r="FO11" s="186"/>
      <c r="FP11" s="186"/>
      <c r="FQ11" s="186"/>
      <c r="FR11" s="186"/>
      <c r="FS11" s="186"/>
      <c r="FT11" s="186"/>
      <c r="FU11" s="186"/>
      <c r="FV11" s="186"/>
      <c r="FW11" s="186"/>
      <c r="FX11" s="186"/>
      <c r="FY11" s="186"/>
      <c r="FZ11" s="186"/>
      <c r="GA11" s="186"/>
      <c r="GB11" s="186"/>
      <c r="GC11" s="186"/>
      <c r="GD11" s="186"/>
      <c r="GE11" s="186"/>
      <c r="GF11" s="186"/>
      <c r="GG11" s="186"/>
      <c r="GH11" s="186"/>
      <c r="GI11" s="186"/>
      <c r="GJ11" s="186"/>
      <c r="GK11" s="186"/>
      <c r="GL11" s="186"/>
      <c r="GM11" s="186"/>
      <c r="GN11" s="186"/>
      <c r="GO11" s="186"/>
      <c r="GP11" s="186"/>
      <c r="GQ11" s="186"/>
      <c r="GR11" s="186"/>
      <c r="GS11" s="186"/>
      <c r="GT11" s="186"/>
      <c r="GU11" s="186"/>
      <c r="GV11" s="186"/>
      <c r="GW11" s="186"/>
      <c r="GX11" s="186"/>
      <c r="GY11" s="186"/>
      <c r="GZ11" s="186"/>
      <c r="HA11" s="186"/>
      <c r="HB11" s="186"/>
      <c r="HC11" s="186"/>
      <c r="HD11" s="186"/>
      <c r="HE11" s="186"/>
      <c r="HF11" s="186"/>
      <c r="HG11" s="186"/>
      <c r="HH11" s="186"/>
      <c r="HI11" s="186"/>
      <c r="HJ11" s="186"/>
      <c r="HK11" s="186"/>
      <c r="HL11" s="186"/>
      <c r="HM11" s="186"/>
      <c r="HN11" s="186"/>
      <c r="HO11" s="186"/>
      <c r="HP11" s="186"/>
      <c r="HQ11" s="186"/>
      <c r="HR11" s="187"/>
    </row>
    <row r="12" ht="54.75" customHeight="1">
      <c r="A12" s="207"/>
      <c r="B12" s="186"/>
      <c r="C12" s="215"/>
      <c r="D12" s="215"/>
      <c r="E12" s="215"/>
      <c r="F12" s="223"/>
      <c r="G12" s="186"/>
      <c r="H12" s="186"/>
      <c r="I12" t="s" s="220">
        <v>88</v>
      </c>
      <c r="J12" s="221"/>
      <c r="K12" s="221"/>
      <c r="L12" s="221"/>
      <c r="M12" s="221"/>
      <c r="N12" s="221"/>
      <c r="O12" s="221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87"/>
    </row>
    <row r="13" ht="54.75" customHeight="1">
      <c r="A13" s="207"/>
      <c r="B13" s="224"/>
      <c r="C13" s="224"/>
      <c r="D13" s="224"/>
      <c r="E13" s="224"/>
      <c r="F13" s="224"/>
      <c r="G13" s="186"/>
      <c r="H13" s="186"/>
      <c r="I13" s="225"/>
      <c r="J13" s="226"/>
      <c r="K13" s="226"/>
      <c r="L13" s="226"/>
      <c r="M13" s="226"/>
      <c r="N13" s="226"/>
      <c r="O13" s="226"/>
      <c r="P13" s="226"/>
      <c r="Q13" s="186"/>
      <c r="R13" s="222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6"/>
      <c r="EO13" s="186"/>
      <c r="EP13" s="186"/>
      <c r="EQ13" s="186"/>
      <c r="ER13" s="186"/>
      <c r="ES13" s="186"/>
      <c r="ET13" s="186"/>
      <c r="EU13" s="186"/>
      <c r="EV13" s="186"/>
      <c r="EW13" s="186"/>
      <c r="EX13" s="186"/>
      <c r="EY13" s="186"/>
      <c r="EZ13" s="186"/>
      <c r="FA13" s="186"/>
      <c r="FB13" s="186"/>
      <c r="FC13" s="186"/>
      <c r="FD13" s="186"/>
      <c r="FE13" s="186"/>
      <c r="FF13" s="186"/>
      <c r="FG13" s="186"/>
      <c r="FH13" s="186"/>
      <c r="FI13" s="186"/>
      <c r="FJ13" s="186"/>
      <c r="FK13" s="186"/>
      <c r="FL13" s="186"/>
      <c r="FM13" s="186"/>
      <c r="FN13" s="186"/>
      <c r="FO13" s="186"/>
      <c r="FP13" s="186"/>
      <c r="FQ13" s="186"/>
      <c r="FR13" s="186"/>
      <c r="FS13" s="186"/>
      <c r="FT13" s="186"/>
      <c r="FU13" s="186"/>
      <c r="FV13" s="186"/>
      <c r="FW13" s="186"/>
      <c r="FX13" s="186"/>
      <c r="FY13" s="186"/>
      <c r="FZ13" s="186"/>
      <c r="GA13" s="186"/>
      <c r="GB13" s="186"/>
      <c r="GC13" s="186"/>
      <c r="GD13" s="186"/>
      <c r="GE13" s="186"/>
      <c r="GF13" s="186"/>
      <c r="GG13" s="186"/>
      <c r="GH13" s="186"/>
      <c r="GI13" s="186"/>
      <c r="GJ13" s="186"/>
      <c r="GK13" s="186"/>
      <c r="GL13" s="186"/>
      <c r="GM13" s="186"/>
      <c r="GN13" s="186"/>
      <c r="GO13" s="186"/>
      <c r="GP13" s="186"/>
      <c r="GQ13" s="186"/>
      <c r="GR13" s="186"/>
      <c r="GS13" s="186"/>
      <c r="GT13" s="186"/>
      <c r="GU13" s="186"/>
      <c r="GV13" s="186"/>
      <c r="GW13" s="186"/>
      <c r="GX13" s="186"/>
      <c r="GY13" s="186"/>
      <c r="GZ13" s="186"/>
      <c r="HA13" s="186"/>
      <c r="HB13" s="186"/>
      <c r="HC13" s="186"/>
      <c r="HD13" s="186"/>
      <c r="HE13" s="186"/>
      <c r="HF13" s="186"/>
      <c r="HG13" s="186"/>
      <c r="HH13" s="186"/>
      <c r="HI13" s="186"/>
      <c r="HJ13" s="186"/>
      <c r="HK13" s="186"/>
      <c r="HL13" s="186"/>
      <c r="HM13" s="186"/>
      <c r="HN13" s="186"/>
      <c r="HO13" s="186"/>
      <c r="HP13" s="186"/>
      <c r="HQ13" s="186"/>
      <c r="HR13" s="187"/>
    </row>
    <row r="14" ht="54.75" customHeight="1">
      <c r="A14" s="191"/>
      <c r="B14" t="s" s="209">
        <v>89</v>
      </c>
      <c r="C14" s="210"/>
      <c r="D14" s="210"/>
      <c r="E14" s="210"/>
      <c r="F14" s="211"/>
      <c r="G14" s="195"/>
      <c r="H14" s="227"/>
      <c r="I14" t="s" s="228">
        <v>90</v>
      </c>
      <c r="J14" s="229"/>
      <c r="K14" s="229"/>
      <c r="L14" s="229"/>
      <c r="M14" s="229"/>
      <c r="N14" s="229"/>
      <c r="O14" s="229"/>
      <c r="P14" s="230"/>
      <c r="Q14" s="231"/>
      <c r="R14" s="222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/>
      <c r="EQ14" s="186"/>
      <c r="ER14" s="186"/>
      <c r="ES14" s="186"/>
      <c r="ET14" s="186"/>
      <c r="EU14" s="186"/>
      <c r="EV14" s="186"/>
      <c r="EW14" s="186"/>
      <c r="EX14" s="186"/>
      <c r="EY14" s="186"/>
      <c r="EZ14" s="186"/>
      <c r="FA14" s="186"/>
      <c r="FB14" s="186"/>
      <c r="FC14" s="186"/>
      <c r="FD14" s="186"/>
      <c r="FE14" s="186"/>
      <c r="FF14" s="186"/>
      <c r="FG14" s="186"/>
      <c r="FH14" s="186"/>
      <c r="FI14" s="186"/>
      <c r="FJ14" s="186"/>
      <c r="FK14" s="186"/>
      <c r="FL14" s="186"/>
      <c r="FM14" s="186"/>
      <c r="FN14" s="186"/>
      <c r="FO14" s="186"/>
      <c r="FP14" s="186"/>
      <c r="FQ14" s="186"/>
      <c r="FR14" s="186"/>
      <c r="FS14" s="186"/>
      <c r="FT14" s="186"/>
      <c r="FU14" s="186"/>
      <c r="FV14" s="186"/>
      <c r="FW14" s="186"/>
      <c r="FX14" s="186"/>
      <c r="FY14" s="186"/>
      <c r="FZ14" s="186"/>
      <c r="GA14" s="186"/>
      <c r="GB14" s="186"/>
      <c r="GC14" s="186"/>
      <c r="GD14" s="186"/>
      <c r="GE14" s="186"/>
      <c r="GF14" s="186"/>
      <c r="GG14" s="186"/>
      <c r="GH14" s="186"/>
      <c r="GI14" s="186"/>
      <c r="GJ14" s="186"/>
      <c r="GK14" s="186"/>
      <c r="GL14" s="186"/>
      <c r="GM14" s="186"/>
      <c r="GN14" s="186"/>
      <c r="GO14" s="186"/>
      <c r="GP14" s="186"/>
      <c r="GQ14" s="186"/>
      <c r="GR14" s="186"/>
      <c r="GS14" s="186"/>
      <c r="GT14" s="186"/>
      <c r="GU14" s="186"/>
      <c r="GV14" s="186"/>
      <c r="GW14" s="186"/>
      <c r="GX14" s="186"/>
      <c r="GY14" s="186"/>
      <c r="GZ14" s="186"/>
      <c r="HA14" s="186"/>
      <c r="HB14" s="186"/>
      <c r="HC14" s="186"/>
      <c r="HD14" s="186"/>
      <c r="HE14" s="186"/>
      <c r="HF14" s="186"/>
      <c r="HG14" s="186"/>
      <c r="HH14" s="186"/>
      <c r="HI14" s="186"/>
      <c r="HJ14" s="186"/>
      <c r="HK14" s="186"/>
      <c r="HL14" s="186"/>
      <c r="HM14" s="186"/>
      <c r="HN14" s="186"/>
      <c r="HO14" s="186"/>
      <c r="HP14" s="186"/>
      <c r="HQ14" s="186"/>
      <c r="HR14" s="187"/>
    </row>
    <row r="15" ht="54.75" customHeight="1">
      <c r="A15" s="207"/>
      <c r="B15" s="213"/>
      <c r="C15" s="213"/>
      <c r="D15" s="213"/>
      <c r="E15" s="213"/>
      <c r="F15" s="213"/>
      <c r="G15" s="186"/>
      <c r="H15" s="186"/>
      <c r="I15" s="190"/>
      <c r="J15" s="190"/>
      <c r="K15" s="190"/>
      <c r="L15" s="190"/>
      <c r="M15" s="190"/>
      <c r="N15" s="190"/>
      <c r="O15" s="190"/>
      <c r="P15" s="190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7"/>
    </row>
    <row r="16" ht="54.75" customHeight="1">
      <c r="A16" s="207"/>
      <c r="B16" t="s" s="220">
        <v>91</v>
      </c>
      <c r="C16" s="221"/>
      <c r="D16" s="221"/>
      <c r="E16" s="221"/>
      <c r="F16" s="232"/>
      <c r="G16" s="212"/>
      <c r="H16" s="186"/>
      <c r="I16" t="s" s="233">
        <v>92</v>
      </c>
      <c r="J16" s="234"/>
      <c r="K16" s="235"/>
      <c r="L16" t="s" s="233">
        <v>93</v>
      </c>
      <c r="M16" s="234"/>
      <c r="N16" s="235"/>
      <c r="O16" t="s" s="233">
        <v>94</v>
      </c>
      <c r="P16" s="234"/>
      <c r="Q16" s="186"/>
      <c r="R16" s="234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6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186"/>
      <c r="EB16" s="186"/>
      <c r="EC16" s="186"/>
      <c r="ED16" s="186"/>
      <c r="EE16" s="186"/>
      <c r="EF16" s="186"/>
      <c r="EG16" s="186"/>
      <c r="EH16" s="186"/>
      <c r="EI16" s="186"/>
      <c r="EJ16" s="186"/>
      <c r="EK16" s="186"/>
      <c r="EL16" s="186"/>
      <c r="EM16" s="186"/>
      <c r="EN16" s="186"/>
      <c r="EO16" s="186"/>
      <c r="EP16" s="186"/>
      <c r="EQ16" s="186"/>
      <c r="ER16" s="186"/>
      <c r="ES16" s="186"/>
      <c r="ET16" s="186"/>
      <c r="EU16" s="186"/>
      <c r="EV16" s="186"/>
      <c r="EW16" s="186"/>
      <c r="EX16" s="186"/>
      <c r="EY16" s="186"/>
      <c r="EZ16" s="186"/>
      <c r="FA16" s="186"/>
      <c r="FB16" s="186"/>
      <c r="FC16" s="186"/>
      <c r="FD16" s="186"/>
      <c r="FE16" s="186"/>
      <c r="FF16" s="186"/>
      <c r="FG16" s="186"/>
      <c r="FH16" s="186"/>
      <c r="FI16" s="186"/>
      <c r="FJ16" s="186"/>
      <c r="FK16" s="186"/>
      <c r="FL16" s="186"/>
      <c r="FM16" s="186"/>
      <c r="FN16" s="186"/>
      <c r="FO16" s="186"/>
      <c r="FP16" s="186"/>
      <c r="FQ16" s="186"/>
      <c r="FR16" s="186"/>
      <c r="FS16" s="186"/>
      <c r="FT16" s="186"/>
      <c r="FU16" s="186"/>
      <c r="FV16" s="186"/>
      <c r="FW16" s="186"/>
      <c r="FX16" s="186"/>
      <c r="FY16" s="186"/>
      <c r="FZ16" s="186"/>
      <c r="GA16" s="186"/>
      <c r="GB16" s="186"/>
      <c r="GC16" s="186"/>
      <c r="GD16" s="186"/>
      <c r="GE16" s="186"/>
      <c r="GF16" s="186"/>
      <c r="GG16" s="186"/>
      <c r="GH16" s="186"/>
      <c r="GI16" s="186"/>
      <c r="GJ16" s="186"/>
      <c r="GK16" s="186"/>
      <c r="GL16" s="186"/>
      <c r="GM16" s="186"/>
      <c r="GN16" s="186"/>
      <c r="GO16" s="186"/>
      <c r="GP16" s="186"/>
      <c r="GQ16" s="186"/>
      <c r="GR16" s="186"/>
      <c r="GS16" s="186"/>
      <c r="GT16" s="186"/>
      <c r="GU16" s="186"/>
      <c r="GV16" s="186"/>
      <c r="GW16" s="186"/>
      <c r="GX16" s="186"/>
      <c r="GY16" s="186"/>
      <c r="GZ16" s="186"/>
      <c r="HA16" s="186"/>
      <c r="HB16" s="186"/>
      <c r="HC16" s="186"/>
      <c r="HD16" s="186"/>
      <c r="HE16" s="186"/>
      <c r="HF16" s="186"/>
      <c r="HG16" s="186"/>
      <c r="HH16" s="186"/>
      <c r="HI16" s="186"/>
      <c r="HJ16" s="186"/>
      <c r="HK16" s="186"/>
      <c r="HL16" s="186"/>
      <c r="HM16" s="186"/>
      <c r="HN16" s="186"/>
      <c r="HO16" s="186"/>
      <c r="HP16" s="186"/>
      <c r="HQ16" s="186"/>
      <c r="HR16" s="187"/>
    </row>
    <row r="17" ht="54.75" customHeight="1">
      <c r="A17" s="207"/>
      <c r="B17" t="s" s="220">
        <v>95</v>
      </c>
      <c r="C17" s="221"/>
      <c r="D17" s="221"/>
      <c r="E17" s="221"/>
      <c r="F17" s="232"/>
      <c r="G17" s="212"/>
      <c r="H17" s="186"/>
      <c r="I17" t="s" s="233">
        <v>96</v>
      </c>
      <c r="J17" s="234"/>
      <c r="K17" s="234"/>
      <c r="L17" t="s" s="233">
        <v>97</v>
      </c>
      <c r="M17" s="234"/>
      <c r="N17" s="234"/>
      <c r="O17" t="s" s="233">
        <v>98</v>
      </c>
      <c r="P17" s="234"/>
      <c r="Q17" s="186"/>
      <c r="R17" s="234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  <c r="DM17" s="186"/>
      <c r="DN17" s="186"/>
      <c r="DO17" s="186"/>
      <c r="DP17" s="186"/>
      <c r="DQ17" s="186"/>
      <c r="DR17" s="186"/>
      <c r="DS17" s="186"/>
      <c r="DT17" s="186"/>
      <c r="DU17" s="186"/>
      <c r="DV17" s="186"/>
      <c r="DW17" s="186"/>
      <c r="DX17" s="186"/>
      <c r="DY17" s="186"/>
      <c r="DZ17" s="186"/>
      <c r="EA17" s="186"/>
      <c r="EB17" s="186"/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186"/>
      <c r="EU17" s="186"/>
      <c r="EV17" s="186"/>
      <c r="EW17" s="186"/>
      <c r="EX17" s="186"/>
      <c r="EY17" s="186"/>
      <c r="EZ17" s="186"/>
      <c r="FA17" s="186"/>
      <c r="FB17" s="186"/>
      <c r="FC17" s="186"/>
      <c r="FD17" s="186"/>
      <c r="FE17" s="186"/>
      <c r="FF17" s="186"/>
      <c r="FG17" s="186"/>
      <c r="FH17" s="186"/>
      <c r="FI17" s="186"/>
      <c r="FJ17" s="186"/>
      <c r="FK17" s="186"/>
      <c r="FL17" s="186"/>
      <c r="FM17" s="186"/>
      <c r="FN17" s="186"/>
      <c r="FO17" s="186"/>
      <c r="FP17" s="186"/>
      <c r="FQ17" s="186"/>
      <c r="FR17" s="186"/>
      <c r="FS17" s="186"/>
      <c r="FT17" s="186"/>
      <c r="FU17" s="186"/>
      <c r="FV17" s="186"/>
      <c r="FW17" s="186"/>
      <c r="FX17" s="186"/>
      <c r="FY17" s="186"/>
      <c r="FZ17" s="186"/>
      <c r="GA17" s="186"/>
      <c r="GB17" s="186"/>
      <c r="GC17" s="186"/>
      <c r="GD17" s="186"/>
      <c r="GE17" s="186"/>
      <c r="GF17" s="186"/>
      <c r="GG17" s="186"/>
      <c r="GH17" s="186"/>
      <c r="GI17" s="186"/>
      <c r="GJ17" s="186"/>
      <c r="GK17" s="186"/>
      <c r="GL17" s="186"/>
      <c r="GM17" s="186"/>
      <c r="GN17" s="186"/>
      <c r="GO17" s="186"/>
      <c r="GP17" s="186"/>
      <c r="GQ17" s="186"/>
      <c r="GR17" s="186"/>
      <c r="GS17" s="186"/>
      <c r="GT17" s="186"/>
      <c r="GU17" s="186"/>
      <c r="GV17" s="186"/>
      <c r="GW17" s="186"/>
      <c r="GX17" s="186"/>
      <c r="GY17" s="186"/>
      <c r="GZ17" s="186"/>
      <c r="HA17" s="186"/>
      <c r="HB17" s="186"/>
      <c r="HC17" s="186"/>
      <c r="HD17" s="186"/>
      <c r="HE17" s="186"/>
      <c r="HF17" s="186"/>
      <c r="HG17" s="186"/>
      <c r="HH17" s="186"/>
      <c r="HI17" s="186"/>
      <c r="HJ17" s="186"/>
      <c r="HK17" s="186"/>
      <c r="HL17" s="186"/>
      <c r="HM17" s="186"/>
      <c r="HN17" s="186"/>
      <c r="HO17" s="186"/>
      <c r="HP17" s="186"/>
      <c r="HQ17" s="186"/>
      <c r="HR17" s="187"/>
    </row>
    <row r="18" ht="54.75" customHeight="1">
      <c r="A18" s="207"/>
      <c r="B18" t="s" s="220">
        <v>99</v>
      </c>
      <c r="C18" s="221"/>
      <c r="D18" s="221"/>
      <c r="E18" s="221"/>
      <c r="F18" s="232"/>
      <c r="G18" s="186"/>
      <c r="H18" s="186"/>
      <c r="I18" t="s" s="214">
        <v>100</v>
      </c>
      <c r="J18" s="215"/>
      <c r="K18" s="236"/>
      <c r="L18" t="s" s="214">
        <v>101</v>
      </c>
      <c r="M18" s="215"/>
      <c r="N18" s="236"/>
      <c r="O18" t="s" s="214">
        <v>102</v>
      </c>
      <c r="P18" s="215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  <c r="DM18" s="186"/>
      <c r="DN18" s="186"/>
      <c r="DO18" s="186"/>
      <c r="DP18" s="186"/>
      <c r="DQ18" s="186"/>
      <c r="DR18" s="186"/>
      <c r="DS18" s="186"/>
      <c r="DT18" s="186"/>
      <c r="DU18" s="186"/>
      <c r="DV18" s="186"/>
      <c r="DW18" s="186"/>
      <c r="DX18" s="186"/>
      <c r="DY18" s="186"/>
      <c r="DZ18" s="186"/>
      <c r="EA18" s="186"/>
      <c r="EB18" s="186"/>
      <c r="EC18" s="186"/>
      <c r="ED18" s="186"/>
      <c r="EE18" s="186"/>
      <c r="EF18" s="186"/>
      <c r="EG18" s="186"/>
      <c r="EH18" s="186"/>
      <c r="EI18" s="186"/>
      <c r="EJ18" s="186"/>
      <c r="EK18" s="186"/>
      <c r="EL18" s="186"/>
      <c r="EM18" s="186"/>
      <c r="EN18" s="186"/>
      <c r="EO18" s="186"/>
      <c r="EP18" s="186"/>
      <c r="EQ18" s="186"/>
      <c r="ER18" s="186"/>
      <c r="ES18" s="186"/>
      <c r="ET18" s="186"/>
      <c r="EU18" s="186"/>
      <c r="EV18" s="186"/>
      <c r="EW18" s="186"/>
      <c r="EX18" s="186"/>
      <c r="EY18" s="186"/>
      <c r="EZ18" s="186"/>
      <c r="FA18" s="186"/>
      <c r="FB18" s="186"/>
      <c r="FC18" s="186"/>
      <c r="FD18" s="186"/>
      <c r="FE18" s="186"/>
      <c r="FF18" s="186"/>
      <c r="FG18" s="186"/>
      <c r="FH18" s="186"/>
      <c r="FI18" s="186"/>
      <c r="FJ18" s="186"/>
      <c r="FK18" s="186"/>
      <c r="FL18" s="186"/>
      <c r="FM18" s="186"/>
      <c r="FN18" s="186"/>
      <c r="FO18" s="186"/>
      <c r="FP18" s="186"/>
      <c r="FQ18" s="186"/>
      <c r="FR18" s="186"/>
      <c r="FS18" s="186"/>
      <c r="FT18" s="186"/>
      <c r="FU18" s="186"/>
      <c r="FV18" s="186"/>
      <c r="FW18" s="186"/>
      <c r="FX18" s="186"/>
      <c r="FY18" s="186"/>
      <c r="FZ18" s="186"/>
      <c r="GA18" s="186"/>
      <c r="GB18" s="186"/>
      <c r="GC18" s="186"/>
      <c r="GD18" s="186"/>
      <c r="GE18" s="186"/>
      <c r="GF18" s="186"/>
      <c r="GG18" s="186"/>
      <c r="GH18" s="186"/>
      <c r="GI18" s="186"/>
      <c r="GJ18" s="186"/>
      <c r="GK18" s="186"/>
      <c r="GL18" s="186"/>
      <c r="GM18" s="186"/>
      <c r="GN18" s="186"/>
      <c r="GO18" s="186"/>
      <c r="GP18" s="186"/>
      <c r="GQ18" s="186"/>
      <c r="GR18" s="186"/>
      <c r="GS18" s="186"/>
      <c r="GT18" s="186"/>
      <c r="GU18" s="186"/>
      <c r="GV18" s="186"/>
      <c r="GW18" s="186"/>
      <c r="GX18" s="186"/>
      <c r="GY18" s="186"/>
      <c r="GZ18" s="186"/>
      <c r="HA18" s="186"/>
      <c r="HB18" s="186"/>
      <c r="HC18" s="186"/>
      <c r="HD18" s="186"/>
      <c r="HE18" s="186"/>
      <c r="HF18" s="186"/>
      <c r="HG18" s="186"/>
      <c r="HH18" s="186"/>
      <c r="HI18" s="186"/>
      <c r="HJ18" s="186"/>
      <c r="HK18" s="186"/>
      <c r="HL18" s="186"/>
      <c r="HM18" s="186"/>
      <c r="HN18" s="186"/>
      <c r="HO18" s="186"/>
      <c r="HP18" s="186"/>
      <c r="HQ18" s="186"/>
      <c r="HR18" s="187"/>
    </row>
    <row r="19" ht="54.75" customHeight="1">
      <c r="A19" s="207"/>
      <c r="B19" t="s" s="220">
        <v>103</v>
      </c>
      <c r="C19" s="221"/>
      <c r="D19" s="221"/>
      <c r="E19" s="221"/>
      <c r="F19" s="237"/>
      <c r="G19" s="186"/>
      <c r="H19" s="186"/>
      <c r="I19" t="s" s="214">
        <v>104</v>
      </c>
      <c r="J19" s="215"/>
      <c r="K19" s="236"/>
      <c r="L19" t="s" s="214">
        <v>105</v>
      </c>
      <c r="M19" s="215"/>
      <c r="N19" s="236"/>
      <c r="O19" t="s" s="214">
        <v>106</v>
      </c>
      <c r="P19" s="215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  <c r="DM19" s="186"/>
      <c r="DN19" s="186"/>
      <c r="DO19" s="186"/>
      <c r="DP19" s="186"/>
      <c r="DQ19" s="186"/>
      <c r="DR19" s="186"/>
      <c r="DS19" s="186"/>
      <c r="DT19" s="186"/>
      <c r="DU19" s="186"/>
      <c r="DV19" s="186"/>
      <c r="DW19" s="186"/>
      <c r="DX19" s="186"/>
      <c r="DY19" s="186"/>
      <c r="DZ19" s="186"/>
      <c r="EA19" s="186"/>
      <c r="EB19" s="186"/>
      <c r="EC19" s="186"/>
      <c r="ED19" s="186"/>
      <c r="EE19" s="186"/>
      <c r="EF19" s="186"/>
      <c r="EG19" s="186"/>
      <c r="EH19" s="186"/>
      <c r="EI19" s="186"/>
      <c r="EJ19" s="186"/>
      <c r="EK19" s="186"/>
      <c r="EL19" s="186"/>
      <c r="EM19" s="186"/>
      <c r="EN19" s="186"/>
      <c r="EO19" s="186"/>
      <c r="EP19" s="186"/>
      <c r="EQ19" s="186"/>
      <c r="ER19" s="186"/>
      <c r="ES19" s="186"/>
      <c r="ET19" s="186"/>
      <c r="EU19" s="186"/>
      <c r="EV19" s="186"/>
      <c r="EW19" s="186"/>
      <c r="EX19" s="186"/>
      <c r="EY19" s="186"/>
      <c r="EZ19" s="186"/>
      <c r="FA19" s="186"/>
      <c r="FB19" s="186"/>
      <c r="FC19" s="186"/>
      <c r="FD19" s="186"/>
      <c r="FE19" s="186"/>
      <c r="FF19" s="186"/>
      <c r="FG19" s="186"/>
      <c r="FH19" s="186"/>
      <c r="FI19" s="186"/>
      <c r="FJ19" s="186"/>
      <c r="FK19" s="186"/>
      <c r="FL19" s="186"/>
      <c r="FM19" s="186"/>
      <c r="FN19" s="186"/>
      <c r="FO19" s="186"/>
      <c r="FP19" s="186"/>
      <c r="FQ19" s="186"/>
      <c r="FR19" s="186"/>
      <c r="FS19" s="186"/>
      <c r="FT19" s="186"/>
      <c r="FU19" s="186"/>
      <c r="FV19" s="186"/>
      <c r="FW19" s="186"/>
      <c r="FX19" s="186"/>
      <c r="FY19" s="186"/>
      <c r="FZ19" s="186"/>
      <c r="GA19" s="186"/>
      <c r="GB19" s="186"/>
      <c r="GC19" s="186"/>
      <c r="GD19" s="186"/>
      <c r="GE19" s="186"/>
      <c r="GF19" s="186"/>
      <c r="GG19" s="186"/>
      <c r="GH19" s="186"/>
      <c r="GI19" s="186"/>
      <c r="GJ19" s="186"/>
      <c r="GK19" s="186"/>
      <c r="GL19" s="186"/>
      <c r="GM19" s="186"/>
      <c r="GN19" s="186"/>
      <c r="GO19" s="186"/>
      <c r="GP19" s="186"/>
      <c r="GQ19" s="186"/>
      <c r="GR19" s="186"/>
      <c r="GS19" s="186"/>
      <c r="GT19" s="186"/>
      <c r="GU19" s="186"/>
      <c r="GV19" s="186"/>
      <c r="GW19" s="186"/>
      <c r="GX19" s="186"/>
      <c r="GY19" s="186"/>
      <c r="GZ19" s="186"/>
      <c r="HA19" s="186"/>
      <c r="HB19" s="186"/>
      <c r="HC19" s="186"/>
      <c r="HD19" s="186"/>
      <c r="HE19" s="186"/>
      <c r="HF19" s="186"/>
      <c r="HG19" s="186"/>
      <c r="HH19" s="186"/>
      <c r="HI19" s="186"/>
      <c r="HJ19" s="186"/>
      <c r="HK19" s="186"/>
      <c r="HL19" s="186"/>
      <c r="HM19" s="186"/>
      <c r="HN19" s="186"/>
      <c r="HO19" s="186"/>
      <c r="HP19" s="186"/>
      <c r="HQ19" s="186"/>
      <c r="HR19" s="187"/>
    </row>
    <row r="20" ht="54.75" customHeight="1">
      <c r="A20" s="207"/>
      <c r="B20" t="s" s="220">
        <v>107</v>
      </c>
      <c r="C20" s="221"/>
      <c r="D20" s="221"/>
      <c r="E20" s="221"/>
      <c r="F20" s="232"/>
      <c r="G20" s="186"/>
      <c r="H20" s="186"/>
      <c r="I20" t="s" s="214">
        <v>108</v>
      </c>
      <c r="J20" s="215"/>
      <c r="K20" s="236"/>
      <c r="L20" t="s" s="214">
        <v>109</v>
      </c>
      <c r="M20" s="215"/>
      <c r="N20" s="236"/>
      <c r="O20" t="s" s="214">
        <v>110</v>
      </c>
      <c r="P20" s="215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  <c r="DM20" s="186"/>
      <c r="DN20" s="186"/>
      <c r="DO20" s="186"/>
      <c r="DP20" s="186"/>
      <c r="DQ20" s="186"/>
      <c r="DR20" s="186"/>
      <c r="DS20" s="186"/>
      <c r="DT20" s="186"/>
      <c r="DU20" s="186"/>
      <c r="DV20" s="186"/>
      <c r="DW20" s="186"/>
      <c r="DX20" s="186"/>
      <c r="DY20" s="186"/>
      <c r="DZ20" s="186"/>
      <c r="EA20" s="186"/>
      <c r="EB20" s="186"/>
      <c r="EC20" s="186"/>
      <c r="ED20" s="186"/>
      <c r="EE20" s="186"/>
      <c r="EF20" s="186"/>
      <c r="EG20" s="186"/>
      <c r="EH20" s="186"/>
      <c r="EI20" s="186"/>
      <c r="EJ20" s="186"/>
      <c r="EK20" s="186"/>
      <c r="EL20" s="186"/>
      <c r="EM20" s="186"/>
      <c r="EN20" s="186"/>
      <c r="EO20" s="186"/>
      <c r="EP20" s="186"/>
      <c r="EQ20" s="186"/>
      <c r="ER20" s="186"/>
      <c r="ES20" s="186"/>
      <c r="ET20" s="186"/>
      <c r="EU20" s="186"/>
      <c r="EV20" s="186"/>
      <c r="EW20" s="186"/>
      <c r="EX20" s="186"/>
      <c r="EY20" s="186"/>
      <c r="EZ20" s="186"/>
      <c r="FA20" s="186"/>
      <c r="FB20" s="186"/>
      <c r="FC20" s="186"/>
      <c r="FD20" s="186"/>
      <c r="FE20" s="186"/>
      <c r="FF20" s="186"/>
      <c r="FG20" s="186"/>
      <c r="FH20" s="186"/>
      <c r="FI20" s="186"/>
      <c r="FJ20" s="186"/>
      <c r="FK20" s="186"/>
      <c r="FL20" s="186"/>
      <c r="FM20" s="186"/>
      <c r="FN20" s="186"/>
      <c r="FO20" s="186"/>
      <c r="FP20" s="186"/>
      <c r="FQ20" s="186"/>
      <c r="FR20" s="186"/>
      <c r="FS20" s="186"/>
      <c r="FT20" s="186"/>
      <c r="FU20" s="186"/>
      <c r="FV20" s="186"/>
      <c r="FW20" s="186"/>
      <c r="FX20" s="186"/>
      <c r="FY20" s="186"/>
      <c r="FZ20" s="186"/>
      <c r="GA20" s="186"/>
      <c r="GB20" s="186"/>
      <c r="GC20" s="186"/>
      <c r="GD20" s="186"/>
      <c r="GE20" s="186"/>
      <c r="GF20" s="186"/>
      <c r="GG20" s="186"/>
      <c r="GH20" s="186"/>
      <c r="GI20" s="186"/>
      <c r="GJ20" s="186"/>
      <c r="GK20" s="186"/>
      <c r="GL20" s="186"/>
      <c r="GM20" s="186"/>
      <c r="GN20" s="186"/>
      <c r="GO20" s="186"/>
      <c r="GP20" s="186"/>
      <c r="GQ20" s="186"/>
      <c r="GR20" s="186"/>
      <c r="GS20" s="186"/>
      <c r="GT20" s="186"/>
      <c r="GU20" s="186"/>
      <c r="GV20" s="186"/>
      <c r="GW20" s="186"/>
      <c r="GX20" s="186"/>
      <c r="GY20" s="186"/>
      <c r="GZ20" s="186"/>
      <c r="HA20" s="186"/>
      <c r="HB20" s="186"/>
      <c r="HC20" s="186"/>
      <c r="HD20" s="186"/>
      <c r="HE20" s="186"/>
      <c r="HF20" s="186"/>
      <c r="HG20" s="186"/>
      <c r="HH20" s="186"/>
      <c r="HI20" s="186"/>
      <c r="HJ20" s="186"/>
      <c r="HK20" s="186"/>
      <c r="HL20" s="186"/>
      <c r="HM20" s="186"/>
      <c r="HN20" s="186"/>
      <c r="HO20" s="186"/>
      <c r="HP20" s="186"/>
      <c r="HQ20" s="186"/>
      <c r="HR20" s="187"/>
    </row>
    <row r="21" ht="54.75" customHeight="1">
      <c r="A21" s="207"/>
      <c r="B21" s="186"/>
      <c r="C21" s="186"/>
      <c r="D21" s="186"/>
      <c r="E21" s="186"/>
      <c r="F21" s="186"/>
      <c r="G21" s="186"/>
      <c r="H21" s="186"/>
      <c r="I21" t="s" s="214">
        <v>111</v>
      </c>
      <c r="J21" s="215"/>
      <c r="K21" s="236"/>
      <c r="L21" t="s" s="214">
        <v>112</v>
      </c>
      <c r="M21" s="215"/>
      <c r="N21" s="236"/>
      <c r="O21" t="s" s="214">
        <v>113</v>
      </c>
      <c r="P21" s="215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6"/>
      <c r="DY21" s="186"/>
      <c r="DZ21" s="186"/>
      <c r="EA21" s="186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6"/>
      <c r="EO21" s="186"/>
      <c r="EP21" s="186"/>
      <c r="EQ21" s="186"/>
      <c r="ER21" s="186"/>
      <c r="ES21" s="186"/>
      <c r="ET21" s="186"/>
      <c r="EU21" s="186"/>
      <c r="EV21" s="186"/>
      <c r="EW21" s="186"/>
      <c r="EX21" s="186"/>
      <c r="EY21" s="186"/>
      <c r="EZ21" s="186"/>
      <c r="FA21" s="186"/>
      <c r="FB21" s="186"/>
      <c r="FC21" s="186"/>
      <c r="FD21" s="186"/>
      <c r="FE21" s="186"/>
      <c r="FF21" s="186"/>
      <c r="FG21" s="186"/>
      <c r="FH21" s="186"/>
      <c r="FI21" s="186"/>
      <c r="FJ21" s="186"/>
      <c r="FK21" s="186"/>
      <c r="FL21" s="186"/>
      <c r="FM21" s="186"/>
      <c r="FN21" s="186"/>
      <c r="FO21" s="186"/>
      <c r="FP21" s="186"/>
      <c r="FQ21" s="186"/>
      <c r="FR21" s="186"/>
      <c r="FS21" s="186"/>
      <c r="FT21" s="186"/>
      <c r="FU21" s="186"/>
      <c r="FV21" s="186"/>
      <c r="FW21" s="186"/>
      <c r="FX21" s="186"/>
      <c r="FY21" s="186"/>
      <c r="FZ21" s="186"/>
      <c r="GA21" s="186"/>
      <c r="GB21" s="186"/>
      <c r="GC21" s="186"/>
      <c r="GD21" s="186"/>
      <c r="GE21" s="186"/>
      <c r="GF21" s="186"/>
      <c r="GG21" s="186"/>
      <c r="GH21" s="186"/>
      <c r="GI21" s="186"/>
      <c r="GJ21" s="186"/>
      <c r="GK21" s="186"/>
      <c r="GL21" s="186"/>
      <c r="GM21" s="186"/>
      <c r="GN21" s="186"/>
      <c r="GO21" s="186"/>
      <c r="GP21" s="186"/>
      <c r="GQ21" s="186"/>
      <c r="GR21" s="186"/>
      <c r="GS21" s="186"/>
      <c r="GT21" s="186"/>
      <c r="GU21" s="186"/>
      <c r="GV21" s="186"/>
      <c r="GW21" s="186"/>
      <c r="GX21" s="186"/>
      <c r="GY21" s="186"/>
      <c r="GZ21" s="186"/>
      <c r="HA21" s="186"/>
      <c r="HB21" s="186"/>
      <c r="HC21" s="186"/>
      <c r="HD21" s="186"/>
      <c r="HE21" s="186"/>
      <c r="HF21" s="186"/>
      <c r="HG21" s="186"/>
      <c r="HH21" s="186"/>
      <c r="HI21" s="186"/>
      <c r="HJ21" s="186"/>
      <c r="HK21" s="186"/>
      <c r="HL21" s="186"/>
      <c r="HM21" s="186"/>
      <c r="HN21" s="186"/>
      <c r="HO21" s="186"/>
      <c r="HP21" s="186"/>
      <c r="HQ21" s="186"/>
      <c r="HR21" s="187"/>
    </row>
    <row r="22" ht="54.75" customHeight="1">
      <c r="A22" s="207"/>
      <c r="B22" s="186"/>
      <c r="C22" s="186"/>
      <c r="D22" s="186"/>
      <c r="E22" s="186"/>
      <c r="F22" s="186"/>
      <c r="G22" s="186"/>
      <c r="H22" s="186"/>
      <c r="I22" t="s" s="214">
        <v>114</v>
      </c>
      <c r="J22" s="215"/>
      <c r="K22" s="236"/>
      <c r="L22" t="s" s="214">
        <v>115</v>
      </c>
      <c r="M22" s="215"/>
      <c r="N22" s="238"/>
      <c r="O22" t="s" s="214">
        <v>116</v>
      </c>
      <c r="P22" s="215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  <c r="DM22" s="186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6"/>
      <c r="DY22" s="186"/>
      <c r="DZ22" s="186"/>
      <c r="EA22" s="186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186"/>
      <c r="EU22" s="186"/>
      <c r="EV22" s="186"/>
      <c r="EW22" s="186"/>
      <c r="EX22" s="186"/>
      <c r="EY22" s="186"/>
      <c r="EZ22" s="186"/>
      <c r="FA22" s="186"/>
      <c r="FB22" s="186"/>
      <c r="FC22" s="186"/>
      <c r="FD22" s="186"/>
      <c r="FE22" s="186"/>
      <c r="FF22" s="186"/>
      <c r="FG22" s="186"/>
      <c r="FH22" s="186"/>
      <c r="FI22" s="186"/>
      <c r="FJ22" s="186"/>
      <c r="FK22" s="186"/>
      <c r="FL22" s="186"/>
      <c r="FM22" s="186"/>
      <c r="FN22" s="186"/>
      <c r="FO22" s="186"/>
      <c r="FP22" s="186"/>
      <c r="FQ22" s="186"/>
      <c r="FR22" s="186"/>
      <c r="FS22" s="186"/>
      <c r="FT22" s="186"/>
      <c r="FU22" s="186"/>
      <c r="FV22" s="186"/>
      <c r="FW22" s="186"/>
      <c r="FX22" s="186"/>
      <c r="FY22" s="186"/>
      <c r="FZ22" s="186"/>
      <c r="GA22" s="186"/>
      <c r="GB22" s="186"/>
      <c r="GC22" s="186"/>
      <c r="GD22" s="186"/>
      <c r="GE22" s="186"/>
      <c r="GF22" s="186"/>
      <c r="GG22" s="186"/>
      <c r="GH22" s="186"/>
      <c r="GI22" s="186"/>
      <c r="GJ22" s="186"/>
      <c r="GK22" s="186"/>
      <c r="GL22" s="186"/>
      <c r="GM22" s="186"/>
      <c r="GN22" s="186"/>
      <c r="GO22" s="186"/>
      <c r="GP22" s="186"/>
      <c r="GQ22" s="186"/>
      <c r="GR22" s="186"/>
      <c r="GS22" s="186"/>
      <c r="GT22" s="186"/>
      <c r="GU22" s="186"/>
      <c r="GV22" s="186"/>
      <c r="GW22" s="186"/>
      <c r="GX22" s="186"/>
      <c r="GY22" s="186"/>
      <c r="GZ22" s="186"/>
      <c r="HA22" s="186"/>
      <c r="HB22" s="186"/>
      <c r="HC22" s="186"/>
      <c r="HD22" s="186"/>
      <c r="HE22" s="186"/>
      <c r="HF22" s="186"/>
      <c r="HG22" s="186"/>
      <c r="HH22" s="186"/>
      <c r="HI22" s="186"/>
      <c r="HJ22" s="186"/>
      <c r="HK22" s="186"/>
      <c r="HL22" s="186"/>
      <c r="HM22" s="186"/>
      <c r="HN22" s="186"/>
      <c r="HO22" s="186"/>
      <c r="HP22" s="186"/>
      <c r="HQ22" s="186"/>
      <c r="HR22" s="187"/>
    </row>
    <row r="23" ht="54.75" customHeight="1">
      <c r="A23" s="207"/>
      <c r="B23" s="186"/>
      <c r="C23" s="186"/>
      <c r="D23" s="186"/>
      <c r="E23" s="186"/>
      <c r="F23" s="186"/>
      <c r="G23" s="186"/>
      <c r="H23" s="186"/>
      <c r="I23" s="186"/>
      <c r="J23" s="186"/>
      <c r="K23" s="236"/>
      <c r="L23" t="s" s="214">
        <v>117</v>
      </c>
      <c r="M23" s="215"/>
      <c r="N23" s="236"/>
      <c r="O23" t="s" s="214">
        <v>118</v>
      </c>
      <c r="P23" s="215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  <c r="DM23" s="186"/>
      <c r="DN23" s="186"/>
      <c r="DO23" s="186"/>
      <c r="DP23" s="186"/>
      <c r="DQ23" s="186"/>
      <c r="DR23" s="186"/>
      <c r="DS23" s="186"/>
      <c r="DT23" s="186"/>
      <c r="DU23" s="186"/>
      <c r="DV23" s="186"/>
      <c r="DW23" s="186"/>
      <c r="DX23" s="186"/>
      <c r="DY23" s="186"/>
      <c r="DZ23" s="186"/>
      <c r="EA23" s="186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6"/>
      <c r="EO23" s="186"/>
      <c r="EP23" s="186"/>
      <c r="EQ23" s="186"/>
      <c r="ER23" s="186"/>
      <c r="ES23" s="186"/>
      <c r="ET23" s="186"/>
      <c r="EU23" s="186"/>
      <c r="EV23" s="186"/>
      <c r="EW23" s="186"/>
      <c r="EX23" s="186"/>
      <c r="EY23" s="186"/>
      <c r="EZ23" s="186"/>
      <c r="FA23" s="186"/>
      <c r="FB23" s="186"/>
      <c r="FC23" s="186"/>
      <c r="FD23" s="186"/>
      <c r="FE23" s="186"/>
      <c r="FF23" s="186"/>
      <c r="FG23" s="186"/>
      <c r="FH23" s="186"/>
      <c r="FI23" s="186"/>
      <c r="FJ23" s="186"/>
      <c r="FK23" s="186"/>
      <c r="FL23" s="186"/>
      <c r="FM23" s="186"/>
      <c r="FN23" s="186"/>
      <c r="FO23" s="186"/>
      <c r="FP23" s="186"/>
      <c r="FQ23" s="186"/>
      <c r="FR23" s="186"/>
      <c r="FS23" s="186"/>
      <c r="FT23" s="186"/>
      <c r="FU23" s="186"/>
      <c r="FV23" s="186"/>
      <c r="FW23" s="186"/>
      <c r="FX23" s="186"/>
      <c r="FY23" s="186"/>
      <c r="FZ23" s="186"/>
      <c r="GA23" s="186"/>
      <c r="GB23" s="186"/>
      <c r="GC23" s="186"/>
      <c r="GD23" s="186"/>
      <c r="GE23" s="186"/>
      <c r="GF23" s="186"/>
      <c r="GG23" s="186"/>
      <c r="GH23" s="186"/>
      <c r="GI23" s="186"/>
      <c r="GJ23" s="186"/>
      <c r="GK23" s="186"/>
      <c r="GL23" s="186"/>
      <c r="GM23" s="186"/>
      <c r="GN23" s="186"/>
      <c r="GO23" s="186"/>
      <c r="GP23" s="186"/>
      <c r="GQ23" s="186"/>
      <c r="GR23" s="186"/>
      <c r="GS23" s="186"/>
      <c r="GT23" s="186"/>
      <c r="GU23" s="186"/>
      <c r="GV23" s="186"/>
      <c r="GW23" s="186"/>
      <c r="GX23" s="186"/>
      <c r="GY23" s="186"/>
      <c r="GZ23" s="186"/>
      <c r="HA23" s="186"/>
      <c r="HB23" s="186"/>
      <c r="HC23" s="186"/>
      <c r="HD23" s="186"/>
      <c r="HE23" s="186"/>
      <c r="HF23" s="186"/>
      <c r="HG23" s="186"/>
      <c r="HH23" s="186"/>
      <c r="HI23" s="186"/>
      <c r="HJ23" s="186"/>
      <c r="HK23" s="186"/>
      <c r="HL23" s="186"/>
      <c r="HM23" s="186"/>
      <c r="HN23" s="186"/>
      <c r="HO23" s="186"/>
      <c r="HP23" s="186"/>
      <c r="HQ23" s="186"/>
      <c r="HR23" s="187"/>
    </row>
    <row r="24" ht="54.75" customHeight="1">
      <c r="A24" s="207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t="s" s="214">
        <v>119</v>
      </c>
      <c r="M24" s="215"/>
      <c r="N24" s="236"/>
      <c r="O24" s="23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  <c r="DM24" s="186"/>
      <c r="DN24" s="186"/>
      <c r="DO24" s="186"/>
      <c r="DP24" s="186"/>
      <c r="DQ24" s="186"/>
      <c r="DR24" s="186"/>
      <c r="DS24" s="186"/>
      <c r="DT24" s="186"/>
      <c r="DU24" s="186"/>
      <c r="DV24" s="186"/>
      <c r="DW24" s="186"/>
      <c r="DX24" s="186"/>
      <c r="DY24" s="186"/>
      <c r="DZ24" s="186"/>
      <c r="EA24" s="186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6"/>
      <c r="EO24" s="186"/>
      <c r="EP24" s="186"/>
      <c r="EQ24" s="186"/>
      <c r="ER24" s="186"/>
      <c r="ES24" s="186"/>
      <c r="ET24" s="186"/>
      <c r="EU24" s="186"/>
      <c r="EV24" s="186"/>
      <c r="EW24" s="186"/>
      <c r="EX24" s="186"/>
      <c r="EY24" s="186"/>
      <c r="EZ24" s="186"/>
      <c r="FA24" s="186"/>
      <c r="FB24" s="186"/>
      <c r="FC24" s="186"/>
      <c r="FD24" s="186"/>
      <c r="FE24" s="186"/>
      <c r="FF24" s="186"/>
      <c r="FG24" s="186"/>
      <c r="FH24" s="186"/>
      <c r="FI24" s="186"/>
      <c r="FJ24" s="186"/>
      <c r="FK24" s="186"/>
      <c r="FL24" s="186"/>
      <c r="FM24" s="186"/>
      <c r="FN24" s="186"/>
      <c r="FO24" s="186"/>
      <c r="FP24" s="186"/>
      <c r="FQ24" s="186"/>
      <c r="FR24" s="186"/>
      <c r="FS24" s="186"/>
      <c r="FT24" s="186"/>
      <c r="FU24" s="186"/>
      <c r="FV24" s="186"/>
      <c r="FW24" s="186"/>
      <c r="FX24" s="186"/>
      <c r="FY24" s="186"/>
      <c r="FZ24" s="186"/>
      <c r="GA24" s="186"/>
      <c r="GB24" s="186"/>
      <c r="GC24" s="186"/>
      <c r="GD24" s="186"/>
      <c r="GE24" s="186"/>
      <c r="GF24" s="186"/>
      <c r="GG24" s="186"/>
      <c r="GH24" s="186"/>
      <c r="GI24" s="186"/>
      <c r="GJ24" s="186"/>
      <c r="GK24" s="186"/>
      <c r="GL24" s="186"/>
      <c r="GM24" s="186"/>
      <c r="GN24" s="186"/>
      <c r="GO24" s="186"/>
      <c r="GP24" s="186"/>
      <c r="GQ24" s="186"/>
      <c r="GR24" s="186"/>
      <c r="GS24" s="186"/>
      <c r="GT24" s="186"/>
      <c r="GU24" s="186"/>
      <c r="GV24" s="186"/>
      <c r="GW24" s="186"/>
      <c r="GX24" s="186"/>
      <c r="GY24" s="186"/>
      <c r="GZ24" s="186"/>
      <c r="HA24" s="186"/>
      <c r="HB24" s="186"/>
      <c r="HC24" s="186"/>
      <c r="HD24" s="186"/>
      <c r="HE24" s="186"/>
      <c r="HF24" s="186"/>
      <c r="HG24" s="186"/>
      <c r="HH24" s="186"/>
      <c r="HI24" s="186"/>
      <c r="HJ24" s="186"/>
      <c r="HK24" s="186"/>
      <c r="HL24" s="186"/>
      <c r="HM24" s="186"/>
      <c r="HN24" s="186"/>
      <c r="HO24" s="186"/>
      <c r="HP24" s="186"/>
      <c r="HQ24" s="186"/>
      <c r="HR24" s="187"/>
    </row>
    <row r="25" ht="54.75" customHeight="1">
      <c r="A25" s="207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239"/>
      <c r="N25" s="239"/>
      <c r="O25" s="239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/>
      <c r="DT25" s="186"/>
      <c r="DU25" s="186"/>
      <c r="DV25" s="186"/>
      <c r="DW25" s="186"/>
      <c r="DX25" s="186"/>
      <c r="DY25" s="186"/>
      <c r="DZ25" s="186"/>
      <c r="EA25" s="186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6"/>
      <c r="EO25" s="186"/>
      <c r="EP25" s="186"/>
      <c r="EQ25" s="186"/>
      <c r="ER25" s="186"/>
      <c r="ES25" s="186"/>
      <c r="ET25" s="186"/>
      <c r="EU25" s="186"/>
      <c r="EV25" s="186"/>
      <c r="EW25" s="186"/>
      <c r="EX25" s="186"/>
      <c r="EY25" s="186"/>
      <c r="EZ25" s="186"/>
      <c r="FA25" s="186"/>
      <c r="FB25" s="186"/>
      <c r="FC25" s="186"/>
      <c r="FD25" s="186"/>
      <c r="FE25" s="186"/>
      <c r="FF25" s="186"/>
      <c r="FG25" s="186"/>
      <c r="FH25" s="186"/>
      <c r="FI25" s="186"/>
      <c r="FJ25" s="186"/>
      <c r="FK25" s="186"/>
      <c r="FL25" s="186"/>
      <c r="FM25" s="186"/>
      <c r="FN25" s="186"/>
      <c r="FO25" s="186"/>
      <c r="FP25" s="186"/>
      <c r="FQ25" s="186"/>
      <c r="FR25" s="186"/>
      <c r="FS25" s="186"/>
      <c r="FT25" s="186"/>
      <c r="FU25" s="186"/>
      <c r="FV25" s="186"/>
      <c r="FW25" s="186"/>
      <c r="FX25" s="186"/>
      <c r="FY25" s="186"/>
      <c r="FZ25" s="186"/>
      <c r="GA25" s="186"/>
      <c r="GB25" s="186"/>
      <c r="GC25" s="186"/>
      <c r="GD25" s="186"/>
      <c r="GE25" s="186"/>
      <c r="GF25" s="186"/>
      <c r="GG25" s="186"/>
      <c r="GH25" s="186"/>
      <c r="GI25" s="186"/>
      <c r="GJ25" s="186"/>
      <c r="GK25" s="186"/>
      <c r="GL25" s="186"/>
      <c r="GM25" s="186"/>
      <c r="GN25" s="186"/>
      <c r="GO25" s="186"/>
      <c r="GP25" s="186"/>
      <c r="GQ25" s="186"/>
      <c r="GR25" s="186"/>
      <c r="GS25" s="186"/>
      <c r="GT25" s="186"/>
      <c r="GU25" s="186"/>
      <c r="GV25" s="186"/>
      <c r="GW25" s="186"/>
      <c r="GX25" s="186"/>
      <c r="GY25" s="186"/>
      <c r="GZ25" s="186"/>
      <c r="HA25" s="186"/>
      <c r="HB25" s="186"/>
      <c r="HC25" s="186"/>
      <c r="HD25" s="186"/>
      <c r="HE25" s="186"/>
      <c r="HF25" s="186"/>
      <c r="HG25" s="186"/>
      <c r="HH25" s="186"/>
      <c r="HI25" s="186"/>
      <c r="HJ25" s="186"/>
      <c r="HK25" s="186"/>
      <c r="HL25" s="186"/>
      <c r="HM25" s="186"/>
      <c r="HN25" s="186"/>
      <c r="HO25" s="186"/>
      <c r="HP25" s="186"/>
      <c r="HQ25" s="186"/>
      <c r="HR25" s="187"/>
    </row>
    <row r="26" ht="54.75" customHeight="1">
      <c r="A26" s="207"/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  <c r="DM26" s="186"/>
      <c r="DN26" s="186"/>
      <c r="DO26" s="186"/>
      <c r="DP26" s="186"/>
      <c r="DQ26" s="186"/>
      <c r="DR26" s="186"/>
      <c r="DS26" s="186"/>
      <c r="DT26" s="186"/>
      <c r="DU26" s="186"/>
      <c r="DV26" s="186"/>
      <c r="DW26" s="186"/>
      <c r="DX26" s="186"/>
      <c r="DY26" s="186"/>
      <c r="DZ26" s="186"/>
      <c r="EA26" s="186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6"/>
      <c r="EO26" s="186"/>
      <c r="EP26" s="186"/>
      <c r="EQ26" s="186"/>
      <c r="ER26" s="186"/>
      <c r="ES26" s="186"/>
      <c r="ET26" s="186"/>
      <c r="EU26" s="186"/>
      <c r="EV26" s="186"/>
      <c r="EW26" s="186"/>
      <c r="EX26" s="186"/>
      <c r="EY26" s="186"/>
      <c r="EZ26" s="186"/>
      <c r="FA26" s="186"/>
      <c r="FB26" s="186"/>
      <c r="FC26" s="186"/>
      <c r="FD26" s="186"/>
      <c r="FE26" s="186"/>
      <c r="FF26" s="186"/>
      <c r="FG26" s="186"/>
      <c r="FH26" s="186"/>
      <c r="FI26" s="186"/>
      <c r="FJ26" s="186"/>
      <c r="FK26" s="186"/>
      <c r="FL26" s="186"/>
      <c r="FM26" s="186"/>
      <c r="FN26" s="186"/>
      <c r="FO26" s="186"/>
      <c r="FP26" s="186"/>
      <c r="FQ26" s="186"/>
      <c r="FR26" s="186"/>
      <c r="FS26" s="186"/>
      <c r="FT26" s="186"/>
      <c r="FU26" s="186"/>
      <c r="FV26" s="186"/>
      <c r="FW26" s="186"/>
      <c r="FX26" s="186"/>
      <c r="FY26" s="186"/>
      <c r="FZ26" s="186"/>
      <c r="GA26" s="186"/>
      <c r="GB26" s="186"/>
      <c r="GC26" s="186"/>
      <c r="GD26" s="186"/>
      <c r="GE26" s="186"/>
      <c r="GF26" s="186"/>
      <c r="GG26" s="186"/>
      <c r="GH26" s="186"/>
      <c r="GI26" s="186"/>
      <c r="GJ26" s="186"/>
      <c r="GK26" s="186"/>
      <c r="GL26" s="186"/>
      <c r="GM26" s="186"/>
      <c r="GN26" s="186"/>
      <c r="GO26" s="186"/>
      <c r="GP26" s="186"/>
      <c r="GQ26" s="186"/>
      <c r="GR26" s="186"/>
      <c r="GS26" s="186"/>
      <c r="GT26" s="186"/>
      <c r="GU26" s="186"/>
      <c r="GV26" s="186"/>
      <c r="GW26" s="186"/>
      <c r="GX26" s="186"/>
      <c r="GY26" s="186"/>
      <c r="GZ26" s="186"/>
      <c r="HA26" s="186"/>
      <c r="HB26" s="186"/>
      <c r="HC26" s="186"/>
      <c r="HD26" s="186"/>
      <c r="HE26" s="186"/>
      <c r="HF26" s="186"/>
      <c r="HG26" s="186"/>
      <c r="HH26" s="186"/>
      <c r="HI26" s="186"/>
      <c r="HJ26" s="186"/>
      <c r="HK26" s="186"/>
      <c r="HL26" s="186"/>
      <c r="HM26" s="186"/>
      <c r="HN26" s="186"/>
      <c r="HO26" s="186"/>
      <c r="HP26" s="186"/>
      <c r="HQ26" s="186"/>
      <c r="HR26" s="187"/>
    </row>
    <row r="27" ht="54.75" customHeight="1">
      <c r="A27" s="240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24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7"/>
    </row>
    <row r="28" ht="54.75" customHeight="1">
      <c r="A28" t="s" s="241">
        <v>120</v>
      </c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3"/>
      <c r="Q28" s="244"/>
      <c r="R28" s="245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7"/>
    </row>
    <row r="29" ht="24.75" customHeight="1">
      <c r="A29" t="s" s="246">
        <v>121</v>
      </c>
      <c r="B29" s="247"/>
      <c r="C29" s="248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50"/>
      <c r="R29" s="250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7"/>
    </row>
    <row r="30" ht="21" customHeight="1">
      <c r="A30" t="s" s="251">
        <v>122</v>
      </c>
      <c r="B30" s="252"/>
      <c r="C30" s="253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0"/>
      <c r="R30" s="250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  <c r="DM30" s="186"/>
      <c r="DN30" s="186"/>
      <c r="DO30" s="186"/>
      <c r="DP30" s="186"/>
      <c r="DQ30" s="186"/>
      <c r="DR30" s="186"/>
      <c r="DS30" s="186"/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  <c r="EY30" s="186"/>
      <c r="EZ30" s="186"/>
      <c r="FA30" s="186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  <c r="GR30" s="186"/>
      <c r="GS30" s="186"/>
      <c r="GT30" s="186"/>
      <c r="GU30" s="186"/>
      <c r="GV30" s="186"/>
      <c r="GW30" s="186"/>
      <c r="GX30" s="186"/>
      <c r="GY30" s="186"/>
      <c r="GZ30" s="186"/>
      <c r="HA30" s="186"/>
      <c r="HB30" s="186"/>
      <c r="HC30" s="186"/>
      <c r="HD30" s="186"/>
      <c r="HE30" s="186"/>
      <c r="HF30" s="186"/>
      <c r="HG30" s="186"/>
      <c r="HH30" s="186"/>
      <c r="HI30" s="186"/>
      <c r="HJ30" s="186"/>
      <c r="HK30" s="186"/>
      <c r="HL30" s="186"/>
      <c r="HM30" s="186"/>
      <c r="HN30" s="186"/>
      <c r="HO30" s="186"/>
      <c r="HP30" s="186"/>
      <c r="HQ30" s="186"/>
      <c r="HR30" s="187"/>
    </row>
    <row r="31" ht="24" customHeight="1">
      <c r="A31" t="s" s="251">
        <v>123</v>
      </c>
      <c r="B31" s="252"/>
      <c r="C31" s="253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0"/>
      <c r="R31" s="250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  <c r="DM31" s="186"/>
      <c r="DN31" s="186"/>
      <c r="DO31" s="186"/>
      <c r="DP31" s="186"/>
      <c r="DQ31" s="186"/>
      <c r="DR31" s="186"/>
      <c r="DS31" s="186"/>
      <c r="DT31" s="186"/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  <c r="EY31" s="186"/>
      <c r="EZ31" s="186"/>
      <c r="FA31" s="186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  <c r="GR31" s="186"/>
      <c r="GS31" s="186"/>
      <c r="GT31" s="186"/>
      <c r="GU31" s="186"/>
      <c r="GV31" s="186"/>
      <c r="GW31" s="186"/>
      <c r="GX31" s="186"/>
      <c r="GY31" s="186"/>
      <c r="GZ31" s="186"/>
      <c r="HA31" s="186"/>
      <c r="HB31" s="186"/>
      <c r="HC31" s="186"/>
      <c r="HD31" s="186"/>
      <c r="HE31" s="186"/>
      <c r="HF31" s="186"/>
      <c r="HG31" s="186"/>
      <c r="HH31" s="186"/>
      <c r="HI31" s="186"/>
      <c r="HJ31" s="186"/>
      <c r="HK31" s="186"/>
      <c r="HL31" s="186"/>
      <c r="HM31" s="186"/>
      <c r="HN31" s="186"/>
      <c r="HO31" s="186"/>
      <c r="HP31" s="186"/>
      <c r="HQ31" s="186"/>
      <c r="HR31" s="187"/>
    </row>
    <row r="32" ht="22.5" customHeight="1">
      <c r="A32" t="s" s="251">
        <v>124</v>
      </c>
      <c r="B32" s="252"/>
      <c r="C32" s="253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0"/>
      <c r="R32" s="250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  <c r="DM32" s="186"/>
      <c r="DN32" s="186"/>
      <c r="DO32" s="186"/>
      <c r="DP32" s="186"/>
      <c r="DQ32" s="186"/>
      <c r="DR32" s="186"/>
      <c r="DS32" s="186"/>
      <c r="DT32" s="186"/>
      <c r="DU32" s="186"/>
      <c r="DV32" s="186"/>
      <c r="DW32" s="186"/>
      <c r="DX32" s="186"/>
      <c r="DY32" s="186"/>
      <c r="DZ32" s="186"/>
      <c r="EA32" s="186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6"/>
      <c r="EO32" s="186"/>
      <c r="EP32" s="186"/>
      <c r="EQ32" s="186"/>
      <c r="ER32" s="186"/>
      <c r="ES32" s="186"/>
      <c r="ET32" s="186"/>
      <c r="EU32" s="186"/>
      <c r="EV32" s="186"/>
      <c r="EW32" s="186"/>
      <c r="EX32" s="186"/>
      <c r="EY32" s="186"/>
      <c r="EZ32" s="186"/>
      <c r="FA32" s="186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  <c r="GR32" s="186"/>
      <c r="GS32" s="186"/>
      <c r="GT32" s="186"/>
      <c r="GU32" s="186"/>
      <c r="GV32" s="186"/>
      <c r="GW32" s="186"/>
      <c r="GX32" s="186"/>
      <c r="GY32" s="186"/>
      <c r="GZ32" s="186"/>
      <c r="HA32" s="186"/>
      <c r="HB32" s="186"/>
      <c r="HC32" s="186"/>
      <c r="HD32" s="186"/>
      <c r="HE32" s="186"/>
      <c r="HF32" s="186"/>
      <c r="HG32" s="186"/>
      <c r="HH32" s="186"/>
      <c r="HI32" s="186"/>
      <c r="HJ32" s="186"/>
      <c r="HK32" s="186"/>
      <c r="HL32" s="186"/>
      <c r="HM32" s="186"/>
      <c r="HN32" s="186"/>
      <c r="HO32" s="186"/>
      <c r="HP32" s="186"/>
      <c r="HQ32" s="186"/>
      <c r="HR32" s="187"/>
    </row>
    <row r="33" ht="21" customHeight="1">
      <c r="A33" t="s" s="255">
        <v>125</v>
      </c>
      <c r="B33" s="256"/>
      <c r="C33" s="257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0"/>
      <c r="R33" s="250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  <c r="DM33" s="186"/>
      <c r="DN33" s="186"/>
      <c r="DO33" s="186"/>
      <c r="DP33" s="186"/>
      <c r="DQ33" s="186"/>
      <c r="DR33" s="186"/>
      <c r="DS33" s="186"/>
      <c r="DT33" s="186"/>
      <c r="DU33" s="186"/>
      <c r="DV33" s="186"/>
      <c r="DW33" s="186"/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  <c r="EY33" s="186"/>
      <c r="EZ33" s="186"/>
      <c r="FA33" s="186"/>
      <c r="FB33" s="186"/>
      <c r="FC33" s="186"/>
      <c r="FD33" s="186"/>
      <c r="FE33" s="186"/>
      <c r="FF33" s="186"/>
      <c r="FG33" s="186"/>
      <c r="FH33" s="186"/>
      <c r="FI33" s="186"/>
      <c r="FJ33" s="186"/>
      <c r="FK33" s="186"/>
      <c r="FL33" s="186"/>
      <c r="FM33" s="186"/>
      <c r="FN33" s="186"/>
      <c r="FO33" s="186"/>
      <c r="FP33" s="186"/>
      <c r="FQ33" s="186"/>
      <c r="FR33" s="186"/>
      <c r="FS33" s="186"/>
      <c r="FT33" s="186"/>
      <c r="FU33" s="186"/>
      <c r="FV33" s="186"/>
      <c r="FW33" s="186"/>
      <c r="FX33" s="186"/>
      <c r="FY33" s="186"/>
      <c r="FZ33" s="186"/>
      <c r="GA33" s="186"/>
      <c r="GB33" s="186"/>
      <c r="GC33" s="186"/>
      <c r="GD33" s="186"/>
      <c r="GE33" s="186"/>
      <c r="GF33" s="186"/>
      <c r="GG33" s="186"/>
      <c r="GH33" s="186"/>
      <c r="GI33" s="186"/>
      <c r="GJ33" s="186"/>
      <c r="GK33" s="186"/>
      <c r="GL33" s="186"/>
      <c r="GM33" s="186"/>
      <c r="GN33" s="186"/>
      <c r="GO33" s="186"/>
      <c r="GP33" s="186"/>
      <c r="GQ33" s="186"/>
      <c r="GR33" s="186"/>
      <c r="GS33" s="186"/>
      <c r="GT33" s="186"/>
      <c r="GU33" s="186"/>
      <c r="GV33" s="186"/>
      <c r="GW33" s="186"/>
      <c r="GX33" s="186"/>
      <c r="GY33" s="186"/>
      <c r="GZ33" s="186"/>
      <c r="HA33" s="186"/>
      <c r="HB33" s="186"/>
      <c r="HC33" s="186"/>
      <c r="HD33" s="186"/>
      <c r="HE33" s="186"/>
      <c r="HF33" s="186"/>
      <c r="HG33" s="186"/>
      <c r="HH33" s="186"/>
      <c r="HI33" s="186"/>
      <c r="HJ33" s="186"/>
      <c r="HK33" s="186"/>
      <c r="HL33" s="186"/>
      <c r="HM33" s="186"/>
      <c r="HN33" s="186"/>
      <c r="HO33" s="186"/>
      <c r="HP33" s="186"/>
      <c r="HQ33" s="186"/>
      <c r="HR33" s="187"/>
    </row>
    <row r="34" ht="54.75" customHeight="1">
      <c r="A34" t="s" s="241">
        <v>126</v>
      </c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3"/>
      <c r="Q34" s="244"/>
      <c r="R34" s="245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  <c r="DM34" s="186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/>
      <c r="EV34" s="186"/>
      <c r="EW34" s="186"/>
      <c r="EX34" s="186"/>
      <c r="EY34" s="186"/>
      <c r="EZ34" s="186"/>
      <c r="FA34" s="186"/>
      <c r="FB34" s="186"/>
      <c r="FC34" s="186"/>
      <c r="FD34" s="186"/>
      <c r="FE34" s="186"/>
      <c r="FF34" s="186"/>
      <c r="FG34" s="186"/>
      <c r="FH34" s="186"/>
      <c r="FI34" s="186"/>
      <c r="FJ34" s="186"/>
      <c r="FK34" s="186"/>
      <c r="FL34" s="186"/>
      <c r="FM34" s="186"/>
      <c r="FN34" s="186"/>
      <c r="FO34" s="186"/>
      <c r="FP34" s="186"/>
      <c r="FQ34" s="186"/>
      <c r="FR34" s="186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7"/>
    </row>
    <row r="35" ht="54.75" customHeight="1">
      <c r="A35" s="259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1"/>
      <c r="Q35" s="262"/>
      <c r="R35" s="263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  <c r="DM35" s="186"/>
      <c r="DN35" s="186"/>
      <c r="DO35" s="186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/>
      <c r="EW35" s="186"/>
      <c r="EX35" s="186"/>
      <c r="EY35" s="186"/>
      <c r="EZ35" s="186"/>
      <c r="FA35" s="186"/>
      <c r="FB35" s="186"/>
      <c r="FC35" s="186"/>
      <c r="FD35" s="186"/>
      <c r="FE35" s="186"/>
      <c r="FF35" s="186"/>
      <c r="FG35" s="186"/>
      <c r="FH35" s="186"/>
      <c r="FI35" s="186"/>
      <c r="FJ35" s="186"/>
      <c r="FK35" s="186"/>
      <c r="FL35" s="186"/>
      <c r="FM35" s="186"/>
      <c r="FN35" s="186"/>
      <c r="FO35" s="186"/>
      <c r="FP35" s="186"/>
      <c r="FQ35" s="186"/>
      <c r="FR35" s="186"/>
      <c r="FS35" s="186"/>
      <c r="FT35" s="186"/>
      <c r="FU35" s="186"/>
      <c r="FV35" s="186"/>
      <c r="FW35" s="186"/>
      <c r="FX35" s="186"/>
      <c r="FY35" s="186"/>
      <c r="FZ35" s="186"/>
      <c r="GA35" s="186"/>
      <c r="GB35" s="186"/>
      <c r="GC35" s="186"/>
      <c r="GD35" s="186"/>
      <c r="GE35" s="186"/>
      <c r="GF35" s="186"/>
      <c r="GG35" s="186"/>
      <c r="GH35" s="186"/>
      <c r="GI35" s="186"/>
      <c r="GJ35" s="186"/>
      <c r="GK35" s="186"/>
      <c r="GL35" s="186"/>
      <c r="GM35" s="186"/>
      <c r="GN35" s="186"/>
      <c r="GO35" s="186"/>
      <c r="GP35" s="186"/>
      <c r="GQ35" s="186"/>
      <c r="GR35" s="186"/>
      <c r="GS35" s="186"/>
      <c r="GT35" s="186"/>
      <c r="GU35" s="186"/>
      <c r="GV35" s="186"/>
      <c r="GW35" s="186"/>
      <c r="GX35" s="186"/>
      <c r="GY35" s="186"/>
      <c r="GZ35" s="186"/>
      <c r="HA35" s="186"/>
      <c r="HB35" s="186"/>
      <c r="HC35" s="186"/>
      <c r="HD35" s="186"/>
      <c r="HE35" s="186"/>
      <c r="HF35" s="186"/>
      <c r="HG35" s="186"/>
      <c r="HH35" s="186"/>
      <c r="HI35" s="186"/>
      <c r="HJ35" s="186"/>
      <c r="HK35" s="186"/>
      <c r="HL35" s="186"/>
      <c r="HM35" s="186"/>
      <c r="HN35" s="186"/>
      <c r="HO35" s="186"/>
      <c r="HP35" s="186"/>
      <c r="HQ35" s="186"/>
      <c r="HR35" s="187"/>
    </row>
    <row r="36" ht="54.75" customHeight="1">
      <c r="A36" s="264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6"/>
      <c r="Q36" s="273"/>
      <c r="R36" s="274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268"/>
      <c r="CO36" s="268"/>
      <c r="CP36" s="268"/>
      <c r="CQ36" s="268"/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  <c r="DM36" s="268"/>
      <c r="DN36" s="268"/>
      <c r="DO36" s="268"/>
      <c r="DP36" s="268"/>
      <c r="DQ36" s="268"/>
      <c r="DR36" s="268"/>
      <c r="DS36" s="268"/>
      <c r="DT36" s="268"/>
      <c r="DU36" s="268"/>
      <c r="DV36" s="268"/>
      <c r="DW36" s="268"/>
      <c r="DX36" s="268"/>
      <c r="DY36" s="268"/>
      <c r="DZ36" s="268"/>
      <c r="EA36" s="268"/>
      <c r="EB36" s="268"/>
      <c r="EC36" s="268"/>
      <c r="ED36" s="268"/>
      <c r="EE36" s="268"/>
      <c r="EF36" s="268"/>
      <c r="EG36" s="268"/>
      <c r="EH36" s="268"/>
      <c r="EI36" s="268"/>
      <c r="EJ36" s="268"/>
      <c r="EK36" s="268"/>
      <c r="EL36" s="268"/>
      <c r="EM36" s="268"/>
      <c r="EN36" s="268"/>
      <c r="EO36" s="268"/>
      <c r="EP36" s="268"/>
      <c r="EQ36" s="268"/>
      <c r="ER36" s="268"/>
      <c r="ES36" s="268"/>
      <c r="ET36" s="268"/>
      <c r="EU36" s="268"/>
      <c r="EV36" s="268"/>
      <c r="EW36" s="268"/>
      <c r="EX36" s="268"/>
      <c r="EY36" s="268"/>
      <c r="EZ36" s="268"/>
      <c r="FA36" s="268"/>
      <c r="FB36" s="268"/>
      <c r="FC36" s="268"/>
      <c r="FD36" s="268"/>
      <c r="FE36" s="268"/>
      <c r="FF36" s="268"/>
      <c r="FG36" s="268"/>
      <c r="FH36" s="268"/>
      <c r="FI36" s="268"/>
      <c r="FJ36" s="268"/>
      <c r="FK36" s="268"/>
      <c r="FL36" s="268"/>
      <c r="FM36" s="268"/>
      <c r="FN36" s="268"/>
      <c r="FO36" s="268"/>
      <c r="FP36" s="268"/>
      <c r="FQ36" s="268"/>
      <c r="FR36" s="268"/>
      <c r="FS36" s="268"/>
      <c r="FT36" s="268"/>
      <c r="FU36" s="268"/>
      <c r="FV36" s="268"/>
      <c r="FW36" s="268"/>
      <c r="FX36" s="268"/>
      <c r="FY36" s="268"/>
      <c r="FZ36" s="268"/>
      <c r="GA36" s="268"/>
      <c r="GB36" s="268"/>
      <c r="GC36" s="268"/>
      <c r="GD36" s="268"/>
      <c r="GE36" s="268"/>
      <c r="GF36" s="268"/>
      <c r="GG36" s="268"/>
      <c r="GH36" s="268"/>
      <c r="GI36" s="268"/>
      <c r="GJ36" s="268"/>
      <c r="GK36" s="268"/>
      <c r="GL36" s="268"/>
      <c r="GM36" s="268"/>
      <c r="GN36" s="268"/>
      <c r="GO36" s="268"/>
      <c r="GP36" s="268"/>
      <c r="GQ36" s="268"/>
      <c r="GR36" s="268"/>
      <c r="GS36" s="268"/>
      <c r="GT36" s="268"/>
      <c r="GU36" s="268"/>
      <c r="GV36" s="268"/>
      <c r="GW36" s="268"/>
      <c r="GX36" s="268"/>
      <c r="GY36" s="268"/>
      <c r="GZ36" s="268"/>
      <c r="HA36" s="268"/>
      <c r="HB36" s="268"/>
      <c r="HC36" s="268"/>
      <c r="HD36" s="268"/>
      <c r="HE36" s="268"/>
      <c r="HF36" s="268"/>
      <c r="HG36" s="268"/>
      <c r="HH36" s="268"/>
      <c r="HI36" s="268"/>
      <c r="HJ36" s="268"/>
      <c r="HK36" s="268"/>
      <c r="HL36" s="268"/>
      <c r="HM36" s="268"/>
      <c r="HN36" s="268"/>
      <c r="HO36" s="268"/>
      <c r="HP36" s="268"/>
      <c r="HQ36" s="268"/>
      <c r="HR36" s="269"/>
    </row>
  </sheetData>
  <mergeCells count="53">
    <mergeCell ref="A34:P34"/>
    <mergeCell ref="A35:P36"/>
    <mergeCell ref="A29:B29"/>
    <mergeCell ref="C29:P33"/>
    <mergeCell ref="A30:B30"/>
    <mergeCell ref="A31:B31"/>
    <mergeCell ref="A32:B32"/>
    <mergeCell ref="A33:B33"/>
    <mergeCell ref="I16:J16"/>
    <mergeCell ref="I17:J17"/>
    <mergeCell ref="L16:M16"/>
    <mergeCell ref="L17:M17"/>
    <mergeCell ref="O16:P16"/>
    <mergeCell ref="O17:P17"/>
    <mergeCell ref="I21:J21"/>
    <mergeCell ref="I22:J22"/>
    <mergeCell ref="L18:M18"/>
    <mergeCell ref="L19:M19"/>
    <mergeCell ref="O22:P22"/>
    <mergeCell ref="O18:P18"/>
    <mergeCell ref="O19:P19"/>
    <mergeCell ref="O20:P20"/>
    <mergeCell ref="O21:P21"/>
    <mergeCell ref="I14:P14"/>
    <mergeCell ref="N1:P1"/>
    <mergeCell ref="A2:P2"/>
    <mergeCell ref="A28:P28"/>
    <mergeCell ref="I10:O10"/>
    <mergeCell ref="I11:O11"/>
    <mergeCell ref="I12:O12"/>
    <mergeCell ref="L23:M23"/>
    <mergeCell ref="L24:M24"/>
    <mergeCell ref="O23:P23"/>
    <mergeCell ref="I18:J18"/>
    <mergeCell ref="I19:J19"/>
    <mergeCell ref="I20:J20"/>
    <mergeCell ref="L20:M20"/>
    <mergeCell ref="L21:M21"/>
    <mergeCell ref="L22:M22"/>
    <mergeCell ref="C1:G1"/>
    <mergeCell ref="B7:F7"/>
    <mergeCell ref="B9:E9"/>
    <mergeCell ref="I9:O9"/>
    <mergeCell ref="I7:P7"/>
    <mergeCell ref="I4:P4"/>
    <mergeCell ref="B18:E18"/>
    <mergeCell ref="B20:E20"/>
    <mergeCell ref="B19:E19"/>
    <mergeCell ref="B10:E10"/>
    <mergeCell ref="B11:E11"/>
    <mergeCell ref="B14:F14"/>
    <mergeCell ref="B16:E16"/>
    <mergeCell ref="B17:E17"/>
  </mergeCells>
  <pageMargins left="0.7" right="0.7" top="0.75" bottom="0.75" header="0.3" footer="0.3"/>
  <pageSetup firstPageNumber="1" fitToHeight="1" fitToWidth="1" scale="42" useFirstPageNumber="0" orientation="portrait" pageOrder="downThenOver"/>
  <headerFooter>
    <oddFooter>&amp;C&amp;"Helvetica Neue,Regular"&amp;12&amp;K000000&amp;P</oddFooter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Q38"/>
  <sheetViews>
    <sheetView workbookViewId="0" showGridLines="0" defaultGridColor="1"/>
  </sheetViews>
  <sheetFormatPr defaultColWidth="10.8333" defaultRowHeight="15" customHeight="1" outlineLevelRow="0" outlineLevelCol="0"/>
  <cols>
    <col min="1" max="1" width="10.8516" style="285" customWidth="1"/>
    <col min="2" max="2" width="17.1719" style="285" customWidth="1"/>
    <col min="3" max="3" width="16.1719" style="285" customWidth="1"/>
    <col min="4" max="4" width="19.1719" style="285" customWidth="1"/>
    <col min="5" max="5" width="20.1719" style="285" customWidth="1"/>
    <col min="6" max="6" width="23" style="285" customWidth="1"/>
    <col min="7" max="7" width="14.1719" style="285" customWidth="1"/>
    <col min="8" max="8" width="13.6719" style="285" customWidth="1"/>
    <col min="9" max="9" width="14" style="285" customWidth="1"/>
    <col min="10" max="10" width="13.5" style="285" customWidth="1"/>
    <col min="11" max="11" width="15.3516" style="285" customWidth="1"/>
    <col min="12" max="12" width="14.3516" style="285" customWidth="1"/>
    <col min="13" max="13" width="16.1719" style="285" customWidth="1"/>
    <col min="14" max="15" width="10.8516" style="285" customWidth="1"/>
    <col min="16" max="16" width="22.1719" style="285" customWidth="1"/>
    <col min="17" max="17" width="10.8516" style="285" customWidth="1"/>
    <col min="18" max="16384" width="10.8516" style="285" customWidth="1"/>
  </cols>
  <sheetData>
    <row r="1" ht="48" customHeight="1">
      <c r="A1" t="s" s="286">
        <v>127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8"/>
    </row>
    <row r="2" ht="15" customHeight="1">
      <c r="A2" s="289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90"/>
    </row>
    <row r="3" ht="15.75" customHeight="1">
      <c r="A3" s="207"/>
      <c r="B3" s="224"/>
      <c r="C3" s="224"/>
      <c r="D3" s="186"/>
      <c r="E3" s="224"/>
      <c r="F3" s="224"/>
      <c r="G3" s="186"/>
      <c r="H3" s="224"/>
      <c r="I3" s="224"/>
      <c r="J3" s="224"/>
      <c r="K3" s="186"/>
      <c r="L3" s="224"/>
      <c r="M3" s="224"/>
      <c r="N3" s="186"/>
      <c r="O3" s="186"/>
      <c r="P3" s="186"/>
      <c r="Q3" s="187"/>
    </row>
    <row r="4" ht="43.5" customHeight="1">
      <c r="A4" s="191"/>
      <c r="B4" t="s" s="291">
        <v>128</v>
      </c>
      <c r="C4" s="292"/>
      <c r="D4" s="293"/>
      <c r="E4" t="s" s="294">
        <v>129</v>
      </c>
      <c r="F4" s="295"/>
      <c r="G4" s="293"/>
      <c r="H4" t="s" s="296">
        <v>8</v>
      </c>
      <c r="I4" s="297"/>
      <c r="J4" t="s" s="298">
        <v>9</v>
      </c>
      <c r="K4" s="293"/>
      <c r="L4" t="s" s="299">
        <v>25</v>
      </c>
      <c r="M4" s="300"/>
      <c r="N4" s="195"/>
      <c r="O4" s="186"/>
      <c r="P4" s="186"/>
      <c r="Q4" s="187"/>
    </row>
    <row r="5" ht="21.75" customHeight="1">
      <c r="A5" s="191"/>
      <c r="B5" t="s" s="301">
        <v>130</v>
      </c>
      <c r="C5" s="302"/>
      <c r="D5" s="293"/>
      <c r="E5" t="s" s="303">
        <v>11</v>
      </c>
      <c r="F5" s="302"/>
      <c r="G5" s="293"/>
      <c r="H5" t="s" s="304">
        <v>12</v>
      </c>
      <c r="I5" s="305">
        <v>0.15</v>
      </c>
      <c r="J5" s="306" cm="1">
        <f t="array" ref="J5">IF(C7/8100&lt;1,1,C7/8100)</f>
        <v>1</v>
      </c>
      <c r="K5" s="293"/>
      <c r="L5" t="s" s="307">
        <v>131</v>
      </c>
      <c r="M5" s="308"/>
      <c r="N5" s="195"/>
      <c r="O5" s="186"/>
      <c r="P5" s="186"/>
      <c r="Q5" s="187"/>
    </row>
    <row r="6" ht="45" customHeight="1">
      <c r="A6" s="191"/>
      <c r="B6" t="s" s="301">
        <v>13</v>
      </c>
      <c r="C6" s="309" cm="1">
        <f t="array" ref="C6">C5*0.85</f>
        <v>0</v>
      </c>
      <c r="D6" s="293"/>
      <c r="E6" t="s" s="310">
        <v>14</v>
      </c>
      <c r="F6" s="311"/>
      <c r="G6" s="293"/>
      <c r="H6" t="s" s="312">
        <v>15</v>
      </c>
      <c r="I6" s="305">
        <v>0.05</v>
      </c>
      <c r="J6" s="306" cm="1">
        <f t="array" ref="J6">IF(C8*I6&lt;1,1,C8*I6)</f>
      </c>
      <c r="K6" s="195"/>
      <c r="L6" s="213"/>
      <c r="M6" s="213"/>
      <c r="N6" s="186"/>
      <c r="O6" s="186"/>
      <c r="P6" s="186"/>
      <c r="Q6" s="187"/>
    </row>
    <row r="7" ht="30.75" customHeight="1">
      <c r="A7" s="191"/>
      <c r="B7" t="s" s="310">
        <v>12</v>
      </c>
      <c r="C7" s="309" cm="1">
        <f t="array" ref="C7">C5*0.15</f>
        <v>0</v>
      </c>
      <c r="D7" s="293"/>
      <c r="E7" t="s" s="310">
        <v>16</v>
      </c>
      <c r="F7" s="313" cm="1">
        <f t="array" ref="F7">F5*F6</f>
        <v>0</v>
      </c>
      <c r="G7" s="293"/>
      <c r="H7" t="s" s="314">
        <v>17</v>
      </c>
      <c r="I7" s="315">
        <v>0.3</v>
      </c>
      <c r="J7" s="316" cm="1">
        <f t="array" ref="J7">IF(C8*I7&lt;1,1,C8*I7)</f>
      </c>
      <c r="K7" s="195"/>
      <c r="L7" t="s" s="317">
        <v>132</v>
      </c>
      <c r="M7" s="318"/>
      <c r="N7" s="186"/>
      <c r="O7" s="186"/>
      <c r="P7" s="186"/>
      <c r="Q7" s="187"/>
    </row>
    <row r="8" ht="30.75" customHeight="1">
      <c r="A8" s="191"/>
      <c r="B8" t="s" s="319">
        <v>18</v>
      </c>
      <c r="C8" s="320" cm="1">
        <f t="array" ref="C8">C5/L11</f>
      </c>
      <c r="D8" s="293"/>
      <c r="E8" t="s" s="319">
        <v>19</v>
      </c>
      <c r="F8" s="316" cm="1">
        <f t="array" ref="F8">C5*1.1</f>
        <v>0</v>
      </c>
      <c r="G8" s="195"/>
      <c r="H8" s="213"/>
      <c r="I8" s="213"/>
      <c r="J8" s="213"/>
      <c r="K8" s="196"/>
      <c r="L8" t="s" s="64">
        <v>26</v>
      </c>
      <c r="M8" s="65"/>
      <c r="N8" s="195"/>
      <c r="O8" s="186"/>
      <c r="P8" s="186"/>
      <c r="Q8" s="187"/>
    </row>
    <row r="9" ht="22.5" customHeight="1">
      <c r="A9" s="207"/>
      <c r="B9" s="213"/>
      <c r="C9" s="213"/>
      <c r="D9" s="186"/>
      <c r="E9" s="213"/>
      <c r="F9" s="213"/>
      <c r="G9" s="186"/>
      <c r="H9" s="186"/>
      <c r="I9" s="186"/>
      <c r="J9" s="186"/>
      <c r="K9" s="196"/>
      <c r="L9" s="321"/>
      <c r="M9" s="322"/>
      <c r="N9" s="195"/>
      <c r="O9" s="186"/>
      <c r="P9" s="186"/>
      <c r="Q9" s="187"/>
    </row>
    <row r="10" ht="22.5" customHeight="1">
      <c r="A10" s="207"/>
      <c r="B10" s="224"/>
      <c r="C10" s="224"/>
      <c r="D10" s="224"/>
      <c r="E10" s="224"/>
      <c r="F10" s="224"/>
      <c r="G10" s="224"/>
      <c r="H10" s="224"/>
      <c r="I10" s="224"/>
      <c r="J10" s="186"/>
      <c r="K10" s="196"/>
      <c r="L10" t="s" s="64">
        <v>29</v>
      </c>
      <c r="M10" s="65"/>
      <c r="N10" s="195"/>
      <c r="O10" s="186"/>
      <c r="P10" s="186"/>
      <c r="Q10" s="187"/>
    </row>
    <row r="11" ht="57.7" customHeight="1">
      <c r="A11" s="191"/>
      <c r="B11" t="s" s="127">
        <v>39</v>
      </c>
      <c r="C11" s="323"/>
      <c r="D11" t="s" s="130">
        <v>40</v>
      </c>
      <c r="E11" t="s" s="130">
        <v>41</v>
      </c>
      <c r="F11" t="s" s="130">
        <v>42</v>
      </c>
      <c r="G11" t="s" s="130">
        <v>43</v>
      </c>
      <c r="H11" t="s" s="130">
        <v>44</v>
      </c>
      <c r="I11" t="s" s="126">
        <v>45</v>
      </c>
      <c r="J11" s="195"/>
      <c r="K11" s="196"/>
      <c r="L11" s="321"/>
      <c r="M11" s="322"/>
      <c r="N11" s="195"/>
      <c r="O11" s="186"/>
      <c r="P11" s="186"/>
      <c r="Q11" s="187"/>
    </row>
    <row r="12" ht="21.75" customHeight="1">
      <c r="A12" s="324"/>
      <c r="B12" s="325" cm="1">
        <f t="array" ref="B12">'DOMINGO'!B23</f>
        <v>0</v>
      </c>
      <c r="C12" s="326"/>
      <c r="D12" s="327" cm="1">
        <f t="array" ref="D12">SUM('DOMINGO'!D23,'LUNES'!D23,'MARTES'!D23,'MIÉRCOLES'!D23,'JUEVES'!D23,'VIERNES'!D23,'SÁBADO'!D23)</f>
        <v>0</v>
      </c>
      <c r="E12" s="328" cm="1">
        <f t="array" ref="E12">(C5/D38)*D12</f>
      </c>
      <c r="F12" s="329" cm="1">
        <f t="array" ref="F12">((C8-J5)/D20)*D12</f>
      </c>
      <c r="G12" s="327" cm="1">
        <f t="array" ref="G12">'DOMINGO'!I23+'LUNES'!I23+'MARTES'!I23+'MIÉRCOLES'!I23+'JUEVES'!I23+'VIERNES'!I23+'SÁBADO'!I23</f>
        <v>0</v>
      </c>
      <c r="H12" s="327" cm="1">
        <f t="array" ref="H12">IF($D$12&gt;0,MAX(($J$6/$D$20)*$D$12,1),0)</f>
        <v>0</v>
      </c>
      <c r="I12" s="327" cm="1">
        <f t="array" ref="I12">IF($D$12&gt;0,MAX(($J$7/$D$20)*$D$12,1),0)</f>
        <v>0</v>
      </c>
      <c r="J12" s="330"/>
      <c r="K12" s="186"/>
      <c r="L12" s="331"/>
      <c r="M12" s="332"/>
      <c r="N12" s="186"/>
      <c r="O12" s="186"/>
      <c r="P12" s="186"/>
      <c r="Q12" s="187"/>
    </row>
    <row r="13" ht="21.75" customHeight="1">
      <c r="A13" s="324"/>
      <c r="B13" s="325" cm="1">
        <f t="array" ref="B13">'DOMINGO'!B24</f>
        <v>0</v>
      </c>
      <c r="C13" s="326"/>
      <c r="D13" s="327" cm="1">
        <f t="array" ref="D13">SUM('DOMINGO'!D24,'LUNES'!D24,'MARTES'!D24,'MIÉRCOLES'!D24,'JUEVES'!D24,'VIERNES'!D24,'SÁBADO'!D24)</f>
        <v>0</v>
      </c>
      <c r="E13" s="328" cm="1">
        <f t="array" ref="E13">(C5/D38)*D13</f>
      </c>
      <c r="F13" s="329" cm="1">
        <f t="array" ref="F13">((C8-J5)/D20)*D13</f>
      </c>
      <c r="G13" s="327" cm="1">
        <f t="array" ref="G13">'DOMINGO'!I24+'LUNES'!I24+'MARTES'!I24+'MIÉRCOLES'!I24+'JUEVES'!I24+'VIERNES'!I24+'SÁBADO'!I24</f>
        <v>0</v>
      </c>
      <c r="H13" s="327" cm="1">
        <f t="array" ref="H13">IF($D$12&gt;0,MAX(($J$6/$D$20)*$D$12,1),0)</f>
        <v>0</v>
      </c>
      <c r="I13" s="327" cm="1">
        <f t="array" ref="I13">IF($D$12&gt;0,MAX(($J$7/$D$20)*$D$12,1),0)</f>
        <v>0</v>
      </c>
      <c r="J13" s="330"/>
      <c r="K13" s="186"/>
      <c r="L13" s="186"/>
      <c r="M13" s="186"/>
      <c r="N13" s="186"/>
      <c r="O13" s="186"/>
      <c r="P13" s="186"/>
      <c r="Q13" s="187"/>
    </row>
    <row r="14" ht="21.75" customHeight="1">
      <c r="A14" s="324"/>
      <c r="B14" s="325" cm="1">
        <f t="array" ref="B14">'DOMINGO'!B25</f>
        <v>0</v>
      </c>
      <c r="C14" s="326"/>
      <c r="D14" s="327" cm="1">
        <f t="array" ref="D14">SUM('DOMINGO'!D25,'LUNES'!D25,'MARTES'!D25,'MIÉRCOLES'!D25,'JUEVES'!D25,'VIERNES'!D25,'SÁBADO'!D25)</f>
        <v>0</v>
      </c>
      <c r="E14" s="328" cm="1">
        <f t="array" ref="E14">(C5/D38)*D14</f>
      </c>
      <c r="F14" s="329" cm="1">
        <f t="array" ref="F14">((C8-J5)/D20)*D14</f>
      </c>
      <c r="G14" s="327" cm="1">
        <f t="array" ref="G14">'DOMINGO'!I25+'LUNES'!I25+'MARTES'!I25+'MIÉRCOLES'!I25+'JUEVES'!I25+'VIERNES'!I25+'SÁBADO'!I25</f>
        <v>0</v>
      </c>
      <c r="H14" s="327" cm="1">
        <f t="array" ref="H14">IF($D$12&gt;0,MAX(($J$6/$D$20)*$D$12,1),0)</f>
        <v>0</v>
      </c>
      <c r="I14" s="327" cm="1">
        <f t="array" ref="I14">IF($D$12&gt;0,MAX(($J$7/$D$20)*$D$12,1),0)</f>
        <v>0</v>
      </c>
      <c r="J14" s="330"/>
      <c r="K14" s="186"/>
      <c r="L14" s="186"/>
      <c r="M14" s="186"/>
      <c r="N14" s="186"/>
      <c r="O14" s="186"/>
      <c r="P14" s="186"/>
      <c r="Q14" s="187"/>
    </row>
    <row r="15" ht="21.75" customHeight="1">
      <c r="A15" s="324"/>
      <c r="B15" s="325" cm="1">
        <f t="array" ref="B15">'DOMINGO'!B26</f>
        <v>0</v>
      </c>
      <c r="C15" s="326"/>
      <c r="D15" s="327" cm="1">
        <f t="array" ref="D15">SUM('DOMINGO'!D26,'LUNES'!D26,'MARTES'!D26,'MIÉRCOLES'!D26,'JUEVES'!D26,'VIERNES'!D26,'SÁBADO'!D26)</f>
        <v>0</v>
      </c>
      <c r="E15" s="328" cm="1">
        <f t="array" ref="E15">(C5/D38)*D15</f>
      </c>
      <c r="F15" s="329" cm="1">
        <f t="array" ref="F15">((C8-J5)/D20)*D15</f>
      </c>
      <c r="G15" s="327" cm="1">
        <f t="array" ref="G15">'DOMINGO'!I26+'LUNES'!I26+'MARTES'!I26+'MIÉRCOLES'!I26+'JUEVES'!I26+'VIERNES'!I26+'SÁBADO'!I26</f>
        <v>0</v>
      </c>
      <c r="H15" s="327" cm="1">
        <f t="array" ref="H15">IF($D$12&gt;0,MAX(($J$6/$D$20)*$D$12,1),0)</f>
        <v>0</v>
      </c>
      <c r="I15" s="327" cm="1">
        <f t="array" ref="I15">IF($D$12&gt;0,MAX(($J$7/$D$20)*$D$12,1),0)</f>
        <v>0</v>
      </c>
      <c r="J15" s="330"/>
      <c r="K15" s="186"/>
      <c r="L15" s="186"/>
      <c r="M15" s="186"/>
      <c r="N15" s="186"/>
      <c r="O15" s="186"/>
      <c r="P15" s="186"/>
      <c r="Q15" s="187"/>
    </row>
    <row r="16" ht="21.75" customHeight="1">
      <c r="A16" s="324"/>
      <c r="B16" s="325" cm="1">
        <f t="array" ref="B16">'DOMINGO'!B27</f>
        <v>0</v>
      </c>
      <c r="C16" s="326"/>
      <c r="D16" s="327" cm="1">
        <f t="array" ref="D16">SUM('DOMINGO'!D27,'LUNES'!D27,'MARTES'!D27,'MIÉRCOLES'!D27,'JUEVES'!D27,'VIERNES'!D27,'SÁBADO'!D27)</f>
        <v>0</v>
      </c>
      <c r="E16" s="328" cm="1">
        <f t="array" ref="E16">(C5/D38)*D16</f>
      </c>
      <c r="F16" s="329" cm="1">
        <f t="array" ref="F16">((C8-J5)/D20)*D16</f>
      </c>
      <c r="G16" s="327" cm="1">
        <f t="array" ref="G16">'DOMINGO'!I27+'LUNES'!I27+'MARTES'!I27+'MIÉRCOLES'!I27+'JUEVES'!I27+'VIERNES'!I27+'SÁBADO'!I27</f>
        <v>0</v>
      </c>
      <c r="H16" s="327" cm="1">
        <f t="array" ref="H16">IF($D$12&gt;0,MAX(($J$6/$D$20)*$D$12,1),0)</f>
        <v>0</v>
      </c>
      <c r="I16" s="327" cm="1">
        <f t="array" ref="I16">IF($D$12&gt;0,MAX(($J$7/$D$20)*$D$12,1),0)</f>
        <v>0</v>
      </c>
      <c r="J16" s="330"/>
      <c r="K16" s="186"/>
      <c r="L16" s="186"/>
      <c r="M16" s="186"/>
      <c r="N16" s="186"/>
      <c r="O16" s="186"/>
      <c r="P16" s="186"/>
      <c r="Q16" s="187"/>
    </row>
    <row r="17" ht="21.75" customHeight="1">
      <c r="A17" s="324"/>
      <c r="B17" s="325" cm="1">
        <f t="array" ref="B17">'DOMINGO'!B28</f>
        <v>0</v>
      </c>
      <c r="C17" s="326"/>
      <c r="D17" s="327" cm="1">
        <f t="array" ref="D17">SUM('DOMINGO'!D28,'LUNES'!D28,'MARTES'!D28,'MIÉRCOLES'!D28,'JUEVES'!D28,'VIERNES'!D28,'SÁBADO'!D28)</f>
        <v>0</v>
      </c>
      <c r="E17" s="328" cm="1">
        <f t="array" ref="E17">(C5/D38)*D17</f>
      </c>
      <c r="F17" s="329" cm="1">
        <f t="array" ref="F17">((C8-J5)/D20)*D17</f>
      </c>
      <c r="G17" s="327" cm="1">
        <f t="array" ref="G17">'DOMINGO'!I28+'LUNES'!I28+'MARTES'!I28+'MIÉRCOLES'!I28+'JUEVES'!I28+'VIERNES'!I28+'SÁBADO'!I28</f>
        <v>0</v>
      </c>
      <c r="H17" s="327" cm="1">
        <f t="array" ref="H17">IF($D$12&gt;0,MAX(($J$6/$D$20)*$D$12,1),0)</f>
        <v>0</v>
      </c>
      <c r="I17" s="327" cm="1">
        <f t="array" ref="I17">IF($D$12&gt;0,MAX(($J$7/$D$20)*$D$12,1),0)</f>
        <v>0</v>
      </c>
      <c r="J17" s="330"/>
      <c r="K17" s="186"/>
      <c r="L17" s="186"/>
      <c r="M17" s="186"/>
      <c r="N17" s="186"/>
      <c r="O17" s="186"/>
      <c r="P17" s="186"/>
      <c r="Q17" s="187"/>
    </row>
    <row r="18" ht="21.75" customHeight="1">
      <c r="A18" s="324"/>
      <c r="B18" s="325" cm="1">
        <f t="array" ref="B18">'DOMINGO'!B29</f>
        <v>0</v>
      </c>
      <c r="C18" s="326"/>
      <c r="D18" s="327" cm="1">
        <f t="array" ref="D18">SUM('DOMINGO'!D29,'LUNES'!D29,'MARTES'!D29,'MIÉRCOLES'!D29,'JUEVES'!D29,'VIERNES'!D29,'SÁBADO'!D29)</f>
        <v>0</v>
      </c>
      <c r="E18" s="328" cm="1">
        <f t="array" ref="E18">(C5/D38)*D18</f>
      </c>
      <c r="F18" s="329" cm="1">
        <f t="array" ref="F18">((C8-J5)/D20)*D18</f>
      </c>
      <c r="G18" s="327" cm="1">
        <f t="array" ref="G18">'DOMINGO'!I29+'LUNES'!I29+'MARTES'!I29+'MIÉRCOLES'!I29+'JUEVES'!I29+'VIERNES'!I29+'SÁBADO'!I29</f>
        <v>0</v>
      </c>
      <c r="H18" s="327" cm="1">
        <f t="array" ref="H18">IF($D$12&gt;0,MAX(($J$6/$D$20)*$D$12,1),0)</f>
        <v>0</v>
      </c>
      <c r="I18" s="327" cm="1">
        <f t="array" ref="I18">IF($D$12&gt;0,MAX(($J$7/$D$20)*$D$12,1),0)</f>
        <v>0</v>
      </c>
      <c r="J18" s="330"/>
      <c r="K18" s="186"/>
      <c r="L18" s="186"/>
      <c r="M18" s="186"/>
      <c r="N18" s="186"/>
      <c r="O18" s="186"/>
      <c r="P18" s="186"/>
      <c r="Q18" s="187"/>
    </row>
    <row r="19" ht="21.75" customHeight="1">
      <c r="A19" s="324"/>
      <c r="B19" s="325" cm="1">
        <f t="array" ref="B19">'DOMINGO'!B30</f>
        <v>0</v>
      </c>
      <c r="C19" s="326"/>
      <c r="D19" s="327" cm="1">
        <f t="array" ref="D19">SUM('DOMINGO'!D30,'LUNES'!D30,'MARTES'!D30,'MIÉRCOLES'!D30,'JUEVES'!D30,'VIERNES'!D30,'SÁBADO'!D30)</f>
        <v>0</v>
      </c>
      <c r="E19" s="328" cm="1">
        <f t="array" ref="E19">(C5/D38)*D19</f>
      </c>
      <c r="F19" s="329" cm="1">
        <f t="array" ref="F19">((C8-J5)/D20)*D19</f>
      </c>
      <c r="G19" s="327" cm="1">
        <f t="array" ref="G19">'DOMINGO'!I30+'LUNES'!I30+'MARTES'!I30+'MIÉRCOLES'!I30+'JUEVES'!I30+'VIERNES'!I30+'SÁBADO'!I30</f>
        <v>0</v>
      </c>
      <c r="H19" s="327" cm="1">
        <f t="array" ref="H19">IF($D$12&gt;0,MAX(($J$6/$D$20)*$D$12,1),0)</f>
        <v>0</v>
      </c>
      <c r="I19" s="327" cm="1">
        <f t="array" ref="I19">IF($D$12&gt;0,MAX(($J$7/$D$20)*$D$12,1),0)</f>
        <v>0</v>
      </c>
      <c r="J19" s="330"/>
      <c r="K19" s="186"/>
      <c r="L19" s="186"/>
      <c r="M19" s="186"/>
      <c r="N19" s="186"/>
      <c r="O19" s="186"/>
      <c r="P19" s="186"/>
      <c r="Q19" s="187"/>
    </row>
    <row r="20" ht="21.75" customHeight="1">
      <c r="A20" s="191"/>
      <c r="B20" t="s" s="333">
        <v>35</v>
      </c>
      <c r="C20" s="334"/>
      <c r="D20" s="335" cm="1">
        <f t="array" ref="D20">SUM(D12:D19)</f>
        <v>0</v>
      </c>
      <c r="E20" s="336" cm="1">
        <f t="array" ref="E20">SUM(E12:E19)</f>
      </c>
      <c r="F20" s="336" cm="1">
        <f t="array" ref="F20">SUM(F12:F19)</f>
      </c>
      <c r="G20" s="336" cm="1">
        <f t="array" ref="G20">J5</f>
        <v>1</v>
      </c>
      <c r="H20" s="336" cm="1">
        <f t="array" ref="H20">J6</f>
      </c>
      <c r="I20" s="316" cm="1">
        <f t="array" ref="I20">J7</f>
      </c>
      <c r="J20" s="195"/>
      <c r="K20" s="186"/>
      <c r="L20" s="186"/>
      <c r="M20" s="186"/>
      <c r="N20" s="186"/>
      <c r="O20" s="186"/>
      <c r="P20" s="186"/>
      <c r="Q20" s="187"/>
    </row>
    <row r="21" ht="15" customHeight="1">
      <c r="A21" s="207"/>
      <c r="B21" s="213"/>
      <c r="C21" s="213"/>
      <c r="D21" s="213"/>
      <c r="E21" s="213"/>
      <c r="F21" s="213"/>
      <c r="G21" s="213"/>
      <c r="H21" s="213"/>
      <c r="I21" s="213"/>
      <c r="J21" s="186"/>
      <c r="K21" s="186"/>
      <c r="L21" s="186"/>
      <c r="M21" s="186"/>
      <c r="N21" s="186"/>
      <c r="O21" s="186"/>
      <c r="P21" s="186"/>
      <c r="Q21" s="187"/>
    </row>
    <row r="22" ht="15" customHeight="1">
      <c r="A22" s="207"/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7"/>
    </row>
    <row r="23" ht="15" customHeight="1">
      <c r="A23" s="207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7"/>
    </row>
    <row r="24" ht="15.75" customHeight="1">
      <c r="A24" s="240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186"/>
      <c r="N24" s="186"/>
      <c r="O24" s="186"/>
      <c r="P24" s="186"/>
      <c r="Q24" s="187"/>
    </row>
    <row r="25" ht="30" customHeight="1">
      <c r="A25" t="s" s="337">
        <v>133</v>
      </c>
      <c r="B25" s="338"/>
      <c r="C25" t="s" s="130">
        <v>49</v>
      </c>
      <c r="D25" t="s" s="130">
        <v>50</v>
      </c>
      <c r="E25" t="s" s="130">
        <v>51</v>
      </c>
      <c r="F25" t="s" s="130">
        <v>52</v>
      </c>
      <c r="G25" t="s" s="130">
        <v>53</v>
      </c>
      <c r="H25" t="s" s="130">
        <v>54</v>
      </c>
      <c r="I25" s="323"/>
      <c r="J25" t="s" s="130">
        <v>55</v>
      </c>
      <c r="K25" t="s" s="130">
        <v>56</v>
      </c>
      <c r="L25" t="s" s="126">
        <v>57</v>
      </c>
      <c r="M25" t="s" s="339">
        <v>58</v>
      </c>
      <c r="N25" t="s" s="340">
        <v>59</v>
      </c>
      <c r="O25" s="219"/>
      <c r="P25" s="186"/>
      <c r="Q25" s="187"/>
    </row>
    <row r="26" ht="22.5" customHeight="1">
      <c r="A26" s="341"/>
      <c r="B26" s="342"/>
      <c r="C26" s="343" cm="1">
        <f t="array" ref="C26">C5</f>
        <v>0</v>
      </c>
      <c r="D26" s="343" cm="1">
        <f t="array" ref="D26">G38</f>
        <v>0</v>
      </c>
      <c r="E26" s="343" cm="1">
        <f t="array" ref="E26">C8</f>
      </c>
      <c r="F26" s="343" cm="1">
        <f t="array" ref="F26">H38+J38</f>
        <v>0</v>
      </c>
      <c r="G26" s="344" cm="1">
        <f t="array" ref="G26">E38/D38</f>
      </c>
      <c r="H26" s="344" cm="1">
        <f t="array" ref="H26">G26-F6</f>
      </c>
      <c r="I26" s="344"/>
      <c r="J26" s="344" cm="1">
        <f t="array" ref="J26">J38/F26</f>
      </c>
      <c r="K26" s="344" cm="1">
        <f t="array" ref="K26">L38/F26</f>
      </c>
      <c r="L26" s="345" cm="1">
        <f t="array" ref="L26">M38/F26</f>
      </c>
      <c r="M26" s="346"/>
      <c r="N26" s="347"/>
      <c r="O26" s="219"/>
      <c r="P26" s="186"/>
      <c r="Q26" s="187"/>
    </row>
    <row r="27" ht="21.75" customHeight="1">
      <c r="A27" s="348"/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50"/>
      <c r="N27" s="219"/>
      <c r="O27" s="219"/>
      <c r="P27" s="186"/>
      <c r="Q27" s="187"/>
    </row>
    <row r="28" ht="22.5" customHeight="1">
      <c r="A28" s="351"/>
      <c r="B28" s="352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186"/>
      <c r="O28" s="186"/>
      <c r="P28" s="186"/>
      <c r="Q28" s="187"/>
    </row>
    <row r="29" ht="69" customHeight="1">
      <c r="A29" t="s" s="353">
        <v>60</v>
      </c>
      <c r="B29" s="354"/>
      <c r="C29" t="s" s="355">
        <v>40</v>
      </c>
      <c r="D29" t="s" s="355">
        <v>134</v>
      </c>
      <c r="E29" t="s" s="355">
        <v>135</v>
      </c>
      <c r="F29" t="s" s="355">
        <v>136</v>
      </c>
      <c r="G29" t="s" s="355">
        <v>137</v>
      </c>
      <c r="H29" t="s" s="355">
        <v>138</v>
      </c>
      <c r="I29" t="s" s="355">
        <v>139</v>
      </c>
      <c r="J29" t="s" s="355">
        <v>140</v>
      </c>
      <c r="K29" t="s" s="355">
        <v>141</v>
      </c>
      <c r="L29" t="s" s="355">
        <v>142</v>
      </c>
      <c r="M29" t="s" s="356">
        <v>143</v>
      </c>
      <c r="N29" s="293"/>
      <c r="O29" s="195"/>
      <c r="P29" s="186"/>
      <c r="Q29" s="187"/>
    </row>
    <row r="30" ht="21.75" customHeight="1">
      <c r="A30" s="357" cm="1">
        <f t="array" ref="A30">B12</f>
        <v>0</v>
      </c>
      <c r="B30" s="326"/>
      <c r="C30" s="358" cm="1">
        <f t="array" ref="C30">D12</f>
        <v>0</v>
      </c>
      <c r="D30" s="328" cm="1">
        <f t="array" ref="D30">'DOMINGO'!E40+'LUNES'!E40+'MARTES'!E40+'MIÉRCOLES'!E40+'JUEVES'!E40+'VIERNES'!E40+'SÁBADO'!E40</f>
        <v>0</v>
      </c>
      <c r="E30" s="328" cm="1">
        <f t="array" ref="E30">'DOMINGO'!F40+'LUNES'!F40+'MARTES'!F40+'MIÉRCOLES'!F40+'JUEVES'!F40+'VIERNES'!F40+'SÁBADO'!F40</f>
        <v>0</v>
      </c>
      <c r="F30" t="str" s="326" cm="1">
        <f t="array" ref="F30">_xlfn.IFERROR(E30/D30,"0")</f>
        <v>0</v>
      </c>
      <c r="G30" s="328" cm="1">
        <f t="array" ref="G30">'DOMINGO'!H40+'LUNES'!H40+'MARTES'!H40+'MIÉRCOLES'!H40+'JUEVES'!H40+'VIERNES'!H40+'SÁBADO'!H40</f>
        <v>0</v>
      </c>
      <c r="H30" s="328" cm="1">
        <f t="array" ref="H30">'DOMINGO'!I40+'LUNES'!I40+'MARTES'!I40+'MIÉRCOLES'!I40+'JUEVES'!I40+'VIERNES'!I40+'SÁBADO'!I40</f>
        <v>0</v>
      </c>
      <c r="I30" s="328" cm="1">
        <f t="array" ref="I30">'DOMINGO'!J40+'LUNES'!J40+'MARTES'!J40+'MIÉRCOLES'!J40+'JUEVES'!J40+'VIERNES'!J40+'SÁBADO'!J40</f>
        <v>0</v>
      </c>
      <c r="J30" s="328" cm="1">
        <f t="array" ref="J30">'DOMINGO'!K40+'LUNES'!K40+'MARTES'!K40+'MIÉRCOLES'!K40+'JUEVES'!K40+'VIERNES'!K40+'SÁBADO'!K40</f>
        <v>0</v>
      </c>
      <c r="K30" t="str" s="326" cm="1">
        <f t="array" ref="K30">_xlfn.IFERROR(J30/I30,"0")</f>
        <v>0</v>
      </c>
      <c r="L30" s="328" cm="1">
        <f t="array" ref="L30">'DOMINGO'!M40+'LUNES'!M40+'MARTES'!M40+'MIÉRCOLES'!M40+'JUEVES'!M40+'VIERNES'!M40+'SÁBADO'!M40</f>
        <v>0</v>
      </c>
      <c r="M30" s="359" cm="1">
        <f t="array" ref="M30">'DOMINGO'!N40+'LUNES'!N40+'MARTES'!N40+'MIÉRCOLES'!N40+'JUEVES'!N40+'VIERNES'!N40+'SÁBADO'!N40</f>
        <v>0</v>
      </c>
      <c r="N30" s="293"/>
      <c r="O30" s="195"/>
      <c r="P30" s="186"/>
      <c r="Q30" s="187"/>
    </row>
    <row r="31" ht="42" customHeight="1">
      <c r="A31" s="357" cm="1">
        <f t="array" ref="A31">B13</f>
        <v>0</v>
      </c>
      <c r="B31" s="326"/>
      <c r="C31" s="358" cm="1">
        <f t="array" ref="C31">D13</f>
        <v>0</v>
      </c>
      <c r="D31" s="328" cm="1">
        <f t="array" ref="D31">'DOMINGO'!E41+'LUNES'!E41+'MARTES'!E41+'MIÉRCOLES'!E41+'JUEVES'!E41+'VIERNES'!E41+'SÁBADO'!E41</f>
        <v>0</v>
      </c>
      <c r="E31" s="328" cm="1">
        <f t="array" ref="E31">'DOMINGO'!F41+'LUNES'!F41+'MARTES'!F41+'MIÉRCOLES'!F41+'JUEVES'!F41+'VIERNES'!F41+'SÁBADO'!F41</f>
        <v>0</v>
      </c>
      <c r="F31" t="str" s="326" cm="1">
        <f t="array" ref="F31">_xlfn.IFERROR(E31/D31,"0")</f>
        <v>0</v>
      </c>
      <c r="G31" s="328" cm="1">
        <f t="array" ref="G31">'DOMINGO'!H41+'LUNES'!H41+'MARTES'!H41+'MIÉRCOLES'!H41+'JUEVES'!H41+'VIERNES'!H41+'SÁBADO'!H41</f>
        <v>0</v>
      </c>
      <c r="H31" s="328" cm="1">
        <f t="array" ref="H31">'DOMINGO'!I41+'LUNES'!I41+'MARTES'!I41+'MIÉRCOLES'!I41+'JUEVES'!I41+'VIERNES'!I41+'SÁBADO'!I41</f>
        <v>0</v>
      </c>
      <c r="I31" s="328" cm="1">
        <f t="array" ref="I31">'DOMINGO'!J41+'LUNES'!J41+'MARTES'!J41+'MIÉRCOLES'!J41+'JUEVES'!J41+'VIERNES'!J41+'SÁBADO'!J41</f>
        <v>0</v>
      </c>
      <c r="J31" s="328" cm="1">
        <f t="array" ref="J31">'DOMINGO'!K41+'LUNES'!K41+'MARTES'!K41+'MIÉRCOLES'!K41+'JUEVES'!K41+'VIERNES'!K41+'SÁBADO'!K41</f>
        <v>0</v>
      </c>
      <c r="K31" t="str" s="326" cm="1">
        <f t="array" ref="K31">_xlfn.IFERROR(J31/I31,"0")</f>
        <v>0</v>
      </c>
      <c r="L31" s="328" cm="1">
        <f t="array" ref="L31">'DOMINGO'!M41+'LUNES'!M41+'MARTES'!M41+'MIÉRCOLES'!M41+'JUEVES'!M41+'VIERNES'!M41+'SÁBADO'!M41</f>
        <v>0</v>
      </c>
      <c r="M31" s="359" cm="1">
        <f t="array" ref="M31">'DOMINGO'!N41+'LUNES'!N41+'MARTES'!N41+'MIÉRCOLES'!N41+'JUEVES'!N41+'VIERNES'!N41+'SÁBADO'!N41</f>
        <v>0</v>
      </c>
      <c r="N31" s="293"/>
      <c r="O31" s="195"/>
      <c r="P31" s="186"/>
      <c r="Q31" s="187"/>
    </row>
    <row r="32" ht="42" customHeight="1">
      <c r="A32" s="357" cm="1">
        <f t="array" ref="A32">B14</f>
        <v>0</v>
      </c>
      <c r="B32" s="326"/>
      <c r="C32" s="358" cm="1">
        <f t="array" ref="C32">D14</f>
        <v>0</v>
      </c>
      <c r="D32" s="328" cm="1">
        <f t="array" ref="D32">'DOMINGO'!E42+'LUNES'!E42+'MARTES'!E42+'MIÉRCOLES'!E42+'JUEVES'!E42+'VIERNES'!E42+'SÁBADO'!E42</f>
        <v>0</v>
      </c>
      <c r="E32" s="328" cm="1">
        <f t="array" ref="E32">'DOMINGO'!F42+'LUNES'!F42+'MARTES'!F42+'MIÉRCOLES'!F42+'JUEVES'!F42+'VIERNES'!F42+'SÁBADO'!F42</f>
        <v>0</v>
      </c>
      <c r="F32" t="str" s="326" cm="1">
        <f t="array" ref="F32">_xlfn.IFERROR(E32/D32,"0")</f>
        <v>0</v>
      </c>
      <c r="G32" s="328" cm="1">
        <f t="array" ref="G32">'DOMINGO'!H42+'LUNES'!H42+'MARTES'!H42+'MIÉRCOLES'!H42+'JUEVES'!H42+'VIERNES'!H42+'SÁBADO'!H42</f>
        <v>0</v>
      </c>
      <c r="H32" s="328" cm="1">
        <f t="array" ref="H32">'DOMINGO'!I42+'LUNES'!I42+'MARTES'!I42+'MIÉRCOLES'!I42+'JUEVES'!I42+'VIERNES'!I42+'SÁBADO'!I42</f>
        <v>0</v>
      </c>
      <c r="I32" s="328" cm="1">
        <f t="array" ref="I32">'DOMINGO'!J42+'LUNES'!J42+'MARTES'!J42+'MIÉRCOLES'!J42+'JUEVES'!J42+'VIERNES'!J42+'SÁBADO'!J42</f>
        <v>0</v>
      </c>
      <c r="J32" s="328" cm="1">
        <f t="array" ref="J32">'DOMINGO'!K42+'LUNES'!K42+'MARTES'!K42+'MIÉRCOLES'!K42+'JUEVES'!K42+'VIERNES'!K42+'SÁBADO'!K42</f>
        <v>0</v>
      </c>
      <c r="K32" t="str" s="326" cm="1">
        <f t="array" ref="K32">_xlfn.IFERROR(J32/I32,"0")</f>
        <v>0</v>
      </c>
      <c r="L32" s="328" cm="1">
        <f t="array" ref="L32">'DOMINGO'!M42+'LUNES'!M42+'MARTES'!M42+'MIÉRCOLES'!M42+'JUEVES'!M42+'VIERNES'!M42+'SÁBADO'!M42</f>
        <v>0</v>
      </c>
      <c r="M32" s="359" cm="1">
        <f t="array" ref="M32">'DOMINGO'!N42+'LUNES'!N42+'MARTES'!N42+'MIÉRCOLES'!N42+'JUEVES'!N42+'VIERNES'!N42+'SÁBADO'!N42</f>
        <v>0</v>
      </c>
      <c r="N32" s="293"/>
      <c r="O32" s="195"/>
      <c r="P32" s="186"/>
      <c r="Q32" s="187"/>
    </row>
    <row r="33" ht="42" customHeight="1">
      <c r="A33" s="357" cm="1">
        <f t="array" ref="A33">B15</f>
        <v>0</v>
      </c>
      <c r="B33" s="326"/>
      <c r="C33" s="358" cm="1">
        <f t="array" ref="C33">D15</f>
        <v>0</v>
      </c>
      <c r="D33" s="328" cm="1">
        <f t="array" ref="D33">'DOMINGO'!E43+'LUNES'!E43+'MARTES'!E43+'MIÉRCOLES'!E43+'JUEVES'!E43+'VIERNES'!E43+'SÁBADO'!E43</f>
        <v>0</v>
      </c>
      <c r="E33" s="328" cm="1">
        <f t="array" ref="E33">'DOMINGO'!F43+'LUNES'!F43+'MARTES'!F43+'MIÉRCOLES'!F43+'JUEVES'!F43+'VIERNES'!F43+'SÁBADO'!F43</f>
        <v>0</v>
      </c>
      <c r="F33" t="str" s="326" cm="1">
        <f t="array" ref="F33">_xlfn.IFERROR(E33/D33,"0")</f>
        <v>0</v>
      </c>
      <c r="G33" s="328" cm="1">
        <f t="array" ref="G33">'DOMINGO'!H43+'LUNES'!H43+'MARTES'!H43+'MIÉRCOLES'!H43+'JUEVES'!H43+'VIERNES'!H43+'SÁBADO'!H43</f>
        <v>0</v>
      </c>
      <c r="H33" s="328" cm="1">
        <f t="array" ref="H33">'DOMINGO'!I43+'LUNES'!I43+'MARTES'!I43+'MIÉRCOLES'!I43+'JUEVES'!I43+'VIERNES'!I43+'SÁBADO'!I43</f>
        <v>0</v>
      </c>
      <c r="I33" s="328" cm="1">
        <f t="array" ref="I33">'DOMINGO'!J43+'LUNES'!J43+'MARTES'!J43+'MIÉRCOLES'!J43+'JUEVES'!J43+'VIERNES'!J43+'SÁBADO'!J43</f>
        <v>0</v>
      </c>
      <c r="J33" s="328" cm="1">
        <f t="array" ref="J33">'DOMINGO'!K43+'LUNES'!K43+'MARTES'!K43+'MIÉRCOLES'!K43+'JUEVES'!K43+'VIERNES'!K43+'SÁBADO'!K43</f>
        <v>0</v>
      </c>
      <c r="K33" t="str" s="326" cm="1">
        <f t="array" ref="K33">_xlfn.IFERROR(J33/I33,"0")</f>
        <v>0</v>
      </c>
      <c r="L33" s="328" cm="1">
        <f t="array" ref="L33">'DOMINGO'!M43+'LUNES'!M43+'MARTES'!M43+'MIÉRCOLES'!M43+'JUEVES'!M43+'VIERNES'!M43+'SÁBADO'!M43</f>
        <v>0</v>
      </c>
      <c r="M33" s="359" cm="1">
        <f t="array" ref="M33">'DOMINGO'!N43+'LUNES'!N43+'MARTES'!N43+'MIÉRCOLES'!N43+'JUEVES'!N43+'VIERNES'!N43+'SÁBADO'!N43</f>
        <v>0</v>
      </c>
      <c r="N33" s="293"/>
      <c r="O33" s="195"/>
      <c r="P33" s="186"/>
      <c r="Q33" s="187"/>
    </row>
    <row r="34" ht="42" customHeight="1">
      <c r="A34" s="357" cm="1">
        <f t="array" ref="A34">B16</f>
        <v>0</v>
      </c>
      <c r="B34" s="326"/>
      <c r="C34" s="358" cm="1">
        <f t="array" ref="C34">D16</f>
        <v>0</v>
      </c>
      <c r="D34" s="328" cm="1">
        <f t="array" ref="D34">'DOMINGO'!E44+'LUNES'!E44+'MARTES'!E44+'MIÉRCOLES'!E44+'JUEVES'!E44+'VIERNES'!E44+'SÁBADO'!E44</f>
        <v>0</v>
      </c>
      <c r="E34" s="328" cm="1">
        <f t="array" ref="E34">'DOMINGO'!F44+'LUNES'!F44+'MARTES'!F44+'MIÉRCOLES'!F44+'JUEVES'!F44+'VIERNES'!F44+'SÁBADO'!F44</f>
        <v>0</v>
      </c>
      <c r="F34" t="str" s="326" cm="1">
        <f t="array" ref="F34">_xlfn.IFERROR(E34/D34,"0")</f>
        <v>0</v>
      </c>
      <c r="G34" s="328" cm="1">
        <f t="array" ref="G34">'DOMINGO'!H44+'LUNES'!H44+'MARTES'!H44+'MIÉRCOLES'!H44+'JUEVES'!H44+'VIERNES'!H44+'SÁBADO'!H44</f>
        <v>0</v>
      </c>
      <c r="H34" s="328" cm="1">
        <f t="array" ref="H34">'DOMINGO'!I44+'LUNES'!I44+'MARTES'!I44+'MIÉRCOLES'!I44+'JUEVES'!I44+'VIERNES'!I44+'SÁBADO'!I44</f>
        <v>0</v>
      </c>
      <c r="I34" s="328" cm="1">
        <f t="array" ref="I34">'DOMINGO'!J44+'LUNES'!J44+'MARTES'!J44+'MIÉRCOLES'!J44+'JUEVES'!J44+'VIERNES'!J44+'SÁBADO'!J44</f>
        <v>0</v>
      </c>
      <c r="J34" s="328" cm="1">
        <f t="array" ref="J34">'DOMINGO'!K44+'LUNES'!K44+'MARTES'!K44+'MIÉRCOLES'!K44+'JUEVES'!K44+'VIERNES'!K44+'SÁBADO'!K44</f>
        <v>0</v>
      </c>
      <c r="K34" t="str" s="326" cm="1">
        <f t="array" ref="K34">_xlfn.IFERROR(J34/I34,"0")</f>
        <v>0</v>
      </c>
      <c r="L34" s="328" cm="1">
        <f t="array" ref="L34">'DOMINGO'!M44+'LUNES'!M44+'MARTES'!M44+'MIÉRCOLES'!M44+'JUEVES'!M44+'VIERNES'!M44+'SÁBADO'!M44</f>
        <v>0</v>
      </c>
      <c r="M34" s="359" cm="1">
        <f t="array" ref="M34">'DOMINGO'!N44+'LUNES'!N44+'MARTES'!N44+'MIÉRCOLES'!N44+'JUEVES'!N44+'VIERNES'!N44+'SÁBADO'!N44</f>
        <v>0</v>
      </c>
      <c r="N34" s="293"/>
      <c r="O34" s="195"/>
      <c r="P34" s="186"/>
      <c r="Q34" s="187"/>
    </row>
    <row r="35" ht="21.75" customHeight="1">
      <c r="A35" s="357" cm="1">
        <f t="array" ref="A35">B17</f>
        <v>0</v>
      </c>
      <c r="B35" s="326"/>
      <c r="C35" s="358" cm="1">
        <f t="array" ref="C35">D17</f>
        <v>0</v>
      </c>
      <c r="D35" s="328" cm="1">
        <f t="array" ref="D35">'DOMINGO'!E45+'LUNES'!E45+'MARTES'!E45+'MIÉRCOLES'!E45+'JUEVES'!E45+'VIERNES'!E45+'SÁBADO'!E45</f>
        <v>0</v>
      </c>
      <c r="E35" s="328" cm="1">
        <f t="array" ref="E35">'DOMINGO'!F45+'LUNES'!F45+'MARTES'!F45+'MIÉRCOLES'!F45+'JUEVES'!F45+'VIERNES'!F45+'SÁBADO'!F45</f>
        <v>0</v>
      </c>
      <c r="F35" t="str" s="326" cm="1">
        <f t="array" ref="F35">_xlfn.IFERROR(E35/D35,"0")</f>
        <v>0</v>
      </c>
      <c r="G35" s="328" cm="1">
        <f t="array" ref="G35">'DOMINGO'!H45+'LUNES'!H45+'MARTES'!H45+'MIÉRCOLES'!H45+'JUEVES'!H45+'VIERNES'!H45+'SÁBADO'!H45</f>
        <v>0</v>
      </c>
      <c r="H35" s="328" cm="1">
        <f t="array" ref="H35">'DOMINGO'!I45+'LUNES'!I45+'MARTES'!I45+'MIÉRCOLES'!I45+'JUEVES'!I45+'VIERNES'!I45+'SÁBADO'!I45</f>
        <v>0</v>
      </c>
      <c r="I35" s="328" cm="1">
        <f t="array" ref="I35">'DOMINGO'!J45+'LUNES'!J45+'MARTES'!J45+'MIÉRCOLES'!J45+'JUEVES'!J45+'VIERNES'!J45+'SÁBADO'!J45</f>
        <v>0</v>
      </c>
      <c r="J35" s="328" cm="1">
        <f t="array" ref="J35">'DOMINGO'!K45+'LUNES'!K45+'MARTES'!K45+'MIÉRCOLES'!K45+'JUEVES'!K45+'VIERNES'!K45+'SÁBADO'!K45</f>
        <v>0</v>
      </c>
      <c r="K35" t="str" s="326" cm="1">
        <f t="array" ref="K35">_xlfn.IFERROR(J35/I35,"0")</f>
        <v>0</v>
      </c>
      <c r="L35" s="328" cm="1">
        <f t="array" ref="L35">'DOMINGO'!M45+'LUNES'!M45+'MARTES'!M45+'MIÉRCOLES'!M45+'JUEVES'!M45+'VIERNES'!M45+'SÁBADO'!M45</f>
        <v>0</v>
      </c>
      <c r="M35" s="359" cm="1">
        <f t="array" ref="M35">'DOMINGO'!N45+'LUNES'!N45+'MARTES'!N45+'MIÉRCOLES'!N45+'JUEVES'!N45+'VIERNES'!N45+'SÁBADO'!N45</f>
        <v>0</v>
      </c>
      <c r="N35" s="293"/>
      <c r="O35" s="195"/>
      <c r="P35" s="186"/>
      <c r="Q35" s="187"/>
    </row>
    <row r="36" ht="21.75" customHeight="1">
      <c r="A36" s="357" cm="1">
        <f t="array" ref="A36">B18</f>
        <v>0</v>
      </c>
      <c r="B36" s="326"/>
      <c r="C36" s="358" cm="1">
        <f t="array" ref="C36">D18</f>
        <v>0</v>
      </c>
      <c r="D36" s="328" cm="1">
        <f t="array" ref="D36">'DOMINGO'!E46+'LUNES'!E46+'MARTES'!E46+'MIÉRCOLES'!E46+'JUEVES'!E46+'VIERNES'!E46+'SÁBADO'!E46</f>
        <v>0</v>
      </c>
      <c r="E36" s="328" cm="1">
        <f t="array" ref="E36">'DOMINGO'!F46+'LUNES'!F46+'MARTES'!F46+'MIÉRCOLES'!F46+'JUEVES'!F46+'VIERNES'!F46+'SÁBADO'!F46</f>
        <v>0</v>
      </c>
      <c r="F36" t="str" s="326" cm="1">
        <f t="array" ref="F36">_xlfn.IFERROR(E36/D36,"0")</f>
        <v>0</v>
      </c>
      <c r="G36" s="328" cm="1">
        <f t="array" ref="G36">'DOMINGO'!H46+'LUNES'!H46+'MARTES'!H46+'MIÉRCOLES'!H46+'JUEVES'!H46+'VIERNES'!H46+'SÁBADO'!H46</f>
        <v>0</v>
      </c>
      <c r="H36" s="328" cm="1">
        <f t="array" ref="H36">'DOMINGO'!I46+'LUNES'!I46+'MARTES'!I46+'MIÉRCOLES'!I46+'JUEVES'!I46+'VIERNES'!I46+'SÁBADO'!I46</f>
        <v>0</v>
      </c>
      <c r="I36" s="328" cm="1">
        <f t="array" ref="I36">'DOMINGO'!J46+'LUNES'!J46+'MARTES'!J46+'MIÉRCOLES'!J46+'JUEVES'!J46+'VIERNES'!J46+'SÁBADO'!J46</f>
        <v>0</v>
      </c>
      <c r="J36" s="328" cm="1">
        <f t="array" ref="J36">'DOMINGO'!K46+'LUNES'!K46+'MARTES'!K46+'MIÉRCOLES'!K46+'JUEVES'!K46+'VIERNES'!K46+'SÁBADO'!K46</f>
        <v>0</v>
      </c>
      <c r="K36" t="str" s="326" cm="1">
        <f t="array" ref="K36">_xlfn.IFERROR(J36/I36,"0")</f>
        <v>0</v>
      </c>
      <c r="L36" s="328" cm="1">
        <f t="array" ref="L36">'DOMINGO'!M46+'LUNES'!M46+'MARTES'!M46+'MIÉRCOLES'!M46+'JUEVES'!M46+'VIERNES'!M46+'SÁBADO'!M46</f>
        <v>0</v>
      </c>
      <c r="M36" s="359" cm="1">
        <f t="array" ref="M36">'DOMINGO'!N46+'LUNES'!N46+'MARTES'!N46+'MIÉRCOLES'!N46+'JUEVES'!N46+'VIERNES'!N46+'SÁBADO'!N46</f>
        <v>0</v>
      </c>
      <c r="N36" s="293"/>
      <c r="O36" s="195"/>
      <c r="P36" s="186"/>
      <c r="Q36" s="187"/>
    </row>
    <row r="37" ht="21.75" customHeight="1">
      <c r="A37" s="357" cm="1">
        <f t="array" ref="A37">B19</f>
        <v>0</v>
      </c>
      <c r="B37" s="326"/>
      <c r="C37" s="358" cm="1">
        <f t="array" ref="C37">D19</f>
        <v>0</v>
      </c>
      <c r="D37" s="328" cm="1">
        <f t="array" ref="D37">'DOMINGO'!E47+'LUNES'!E47+'MARTES'!E47+'MIÉRCOLES'!E47+'JUEVES'!E47+'VIERNES'!E47+'SÁBADO'!E47</f>
        <v>0</v>
      </c>
      <c r="E37" s="328" cm="1">
        <f t="array" ref="E37">'DOMINGO'!F47+'LUNES'!F47+'MARTES'!F47+'MIÉRCOLES'!F47+'JUEVES'!F47+'VIERNES'!F47+'SÁBADO'!F47</f>
        <v>0</v>
      </c>
      <c r="F37" t="str" s="326" cm="1">
        <f t="array" ref="F37">_xlfn.IFERROR(E37/D37,"0")</f>
        <v>0</v>
      </c>
      <c r="G37" s="328" cm="1">
        <f t="array" ref="G37">'DOMINGO'!H47+'LUNES'!H47+'MARTES'!H47+'MIÉRCOLES'!H47+'JUEVES'!H47+'VIERNES'!H47+'SÁBADO'!H47</f>
        <v>0</v>
      </c>
      <c r="H37" s="328" cm="1">
        <f t="array" ref="H37">'DOMINGO'!I47+'LUNES'!I47+'MARTES'!I47+'MIÉRCOLES'!I47+'JUEVES'!I47+'VIERNES'!I47+'SÁBADO'!I47</f>
        <v>0</v>
      </c>
      <c r="I37" s="328" cm="1">
        <f t="array" ref="I37">'DOMINGO'!J47+'LUNES'!J47+'MARTES'!J47+'MIÉRCOLES'!J47+'JUEVES'!J47+'VIERNES'!J47+'SÁBADO'!J47</f>
        <v>0</v>
      </c>
      <c r="J37" s="328" cm="1">
        <f t="array" ref="J37">'DOMINGO'!K47+'LUNES'!K47+'MARTES'!K47+'MIÉRCOLES'!K47+'JUEVES'!K47+'VIERNES'!K47+'SÁBADO'!K47</f>
        <v>0</v>
      </c>
      <c r="K37" t="str" s="326" cm="1">
        <f t="array" ref="K37">_xlfn.IFERROR(J37/I37,"0")</f>
        <v>0</v>
      </c>
      <c r="L37" s="328" cm="1">
        <f t="array" ref="L37">'DOMINGO'!M47+'LUNES'!M47+'MARTES'!M47+'MIÉRCOLES'!M47+'JUEVES'!M47+'VIERNES'!M47+'SÁBADO'!M47</f>
        <v>0</v>
      </c>
      <c r="M37" s="359" cm="1">
        <f t="array" ref="M37">'DOMINGO'!N47+'LUNES'!N47+'MARTES'!N47+'MIÉRCOLES'!N47+'JUEVES'!N47+'VIERNES'!N47+'SÁBADO'!N47</f>
        <v>0</v>
      </c>
      <c r="N37" s="293"/>
      <c r="O37" s="195"/>
      <c r="P37" s="186"/>
      <c r="Q37" s="187"/>
    </row>
    <row r="38" ht="22.5" customHeight="1">
      <c r="A38" t="s" s="360">
        <v>35</v>
      </c>
      <c r="B38" s="342"/>
      <c r="C38" s="343" cm="1">
        <f t="array" ref="C38">SUM(C30:C37)</f>
        <v>0</v>
      </c>
      <c r="D38" s="361" cm="1">
        <f t="array" ref="D38">SUM(D30:D37)</f>
        <v>0</v>
      </c>
      <c r="E38" s="361" cm="1">
        <f t="array" ref="E38">SUM(E30:E37)</f>
        <v>0</v>
      </c>
      <c r="F38" t="str" s="342" cm="1">
        <f t="array" ref="F38">_xlfn.IFERROR(E38/D38,"0")</f>
        <v>0</v>
      </c>
      <c r="G38" s="343" cm="1">
        <f t="array" ref="G38">SUM(G30:G37)</f>
        <v>0</v>
      </c>
      <c r="H38" s="343" cm="1">
        <f t="array" ref="H38">SUM(H30:H37)</f>
        <v>0</v>
      </c>
      <c r="I38" s="343" cm="1">
        <f t="array" ref="I38">SUM(I30:I37)</f>
        <v>0</v>
      </c>
      <c r="J38" s="343" cm="1">
        <f t="array" ref="J38">SUM(J30:J37)</f>
        <v>0</v>
      </c>
      <c r="K38" t="str" s="342" cm="1">
        <f t="array" ref="K38">_xlfn.IFERROR(J38/I38,"0")</f>
        <v>0</v>
      </c>
      <c r="L38" s="343" cm="1">
        <f t="array" ref="L38">SUM(L30:L37)</f>
        <v>0</v>
      </c>
      <c r="M38" s="320" cm="1">
        <f t="array" ref="M38">SUM(M30:M37)</f>
        <v>0</v>
      </c>
      <c r="N38" s="293"/>
      <c r="O38" s="195"/>
      <c r="P38" s="268"/>
      <c r="Q38" s="269"/>
    </row>
  </sheetData>
  <mergeCells count="34">
    <mergeCell ref="A38:B38"/>
    <mergeCell ref="L9:M9"/>
    <mergeCell ref="L11:M11"/>
    <mergeCell ref="L7:M7"/>
    <mergeCell ref="L8:M8"/>
    <mergeCell ref="L12:M12"/>
    <mergeCell ref="A25:B26"/>
    <mergeCell ref="H25:I25"/>
    <mergeCell ref="H26:I26"/>
    <mergeCell ref="A29:B29"/>
    <mergeCell ref="B20:C20"/>
    <mergeCell ref="A1:Q1"/>
    <mergeCell ref="B4:C4"/>
    <mergeCell ref="E4:F4"/>
    <mergeCell ref="H4:I4"/>
    <mergeCell ref="B11:C11"/>
    <mergeCell ref="L10:M10"/>
    <mergeCell ref="B19:C19"/>
    <mergeCell ref="B18:C18"/>
    <mergeCell ref="B17:C17"/>
    <mergeCell ref="B16:C16"/>
    <mergeCell ref="B15:C15"/>
    <mergeCell ref="B14:C14"/>
    <mergeCell ref="B13:C13"/>
    <mergeCell ref="B12:C12"/>
    <mergeCell ref="A37:B37"/>
    <mergeCell ref="A36:B36"/>
    <mergeCell ref="A35:B35"/>
    <mergeCell ref="A34:B34"/>
    <mergeCell ref="A33:B33"/>
    <mergeCell ref="A32:B32"/>
    <mergeCell ref="A31:B31"/>
    <mergeCell ref="A30:B30"/>
    <mergeCell ref="N29:O3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