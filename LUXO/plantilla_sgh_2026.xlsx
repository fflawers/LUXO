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llezL\Downloads\"/>
    </mc:Choice>
  </mc:AlternateContent>
  <xr:revisionPtr revIDLastSave="0" documentId="13_ncr:1_{EFF63BCC-A276-4E59-8081-8A72727501D8}" xr6:coauthVersionLast="47" xr6:coauthVersionMax="47" xr10:uidLastSave="{00000000-0000-0000-0000-000000000000}"/>
  <bookViews>
    <workbookView xWindow="-108" yWindow="-108" windowWidth="23256" windowHeight="12456" firstSheet="6" activeTab="10" xr2:uid="{00000000-000D-0000-FFFF-FFFF00000000}"/>
  </bookViews>
  <sheets>
    <sheet name="DOMINGO" sheetId="1" r:id="rId1"/>
    <sheet name="PLAN.ACCIÓN_D" sheetId="3" r:id="rId2"/>
    <sheet name="LUNES" sheetId="20" r:id="rId3"/>
    <sheet name="PLAN.ACCIÓN_L" sheetId="26" r:id="rId4"/>
    <sheet name="MARTES" sheetId="22" r:id="rId5"/>
    <sheet name="PLAN.ACCIÓN_MA" sheetId="27" r:id="rId6"/>
    <sheet name="MIÉRCOLES" sheetId="23" r:id="rId7"/>
    <sheet name="PLAN.ACCIÓN_MI" sheetId="28" r:id="rId8"/>
    <sheet name="JUEVES" sheetId="24" r:id="rId9"/>
    <sheet name="PLAN.ACCIÓN_J" sheetId="29" r:id="rId10"/>
    <sheet name="VIERNES" sheetId="25" r:id="rId11"/>
    <sheet name="PLAN.ACCIÓN_V" sheetId="30" r:id="rId12"/>
    <sheet name="SÁBADO" sheetId="21" r:id="rId13"/>
    <sheet name="PLAN.ACCIÓN_S" sheetId="31" r:id="rId14"/>
    <sheet name="SEMANAL" sheetId="12" r:id="rId15"/>
  </sheets>
  <definedNames>
    <definedName name="_xlnm.Print_Area" localSheetId="0">DOMINGO!$A$1:$Q$41</definedName>
    <definedName name="_xlnm.Print_Area" localSheetId="8">JUEVES!$A$1:$Q$41</definedName>
    <definedName name="_xlnm.Print_Area" localSheetId="2">LUNES!$A$1:$Q$41</definedName>
    <definedName name="_xlnm.Print_Area" localSheetId="4">MARTES!$A$1:$Q$41</definedName>
    <definedName name="_xlnm.Print_Area" localSheetId="6">MIÉRCOLES!$A$1:$Q$41</definedName>
    <definedName name="_xlnm.Print_Area" localSheetId="12">SÁBADO!$A$1:$Q$41</definedName>
    <definedName name="_xlnm.Print_Area" localSheetId="10">VIERNES!$A$1:$Q$41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8" i="23"/>
  <c r="J6" i="23"/>
  <c r="J7" i="23"/>
  <c r="F17" i="23"/>
  <c r="C5" i="31"/>
  <c r="C5" i="30"/>
  <c r="C5" i="29"/>
  <c r="C5" i="28"/>
  <c r="C5" i="27"/>
  <c r="C5" i="26"/>
  <c r="M29" i="12"/>
  <c r="H29" i="12"/>
  <c r="L30" i="1"/>
  <c r="C30" i="12"/>
  <c r="C31" i="12"/>
  <c r="C32" i="12"/>
  <c r="C37" i="12" s="1"/>
  <c r="C33" i="12"/>
  <c r="C34" i="12"/>
  <c r="C35" i="12"/>
  <c r="C36" i="12"/>
  <c r="C29" i="12"/>
  <c r="A30" i="12"/>
  <c r="A31" i="12"/>
  <c r="A32" i="12"/>
  <c r="A33" i="12"/>
  <c r="A34" i="12"/>
  <c r="A35" i="12"/>
  <c r="A36" i="12"/>
  <c r="A29" i="12"/>
  <c r="O37" i="12"/>
  <c r="K26" i="12" s="1"/>
  <c r="N37" i="12"/>
  <c r="L37" i="12"/>
  <c r="M37" i="12" s="1"/>
  <c r="K37" i="12"/>
  <c r="J37" i="12"/>
  <c r="I37" i="12"/>
  <c r="G37" i="12"/>
  <c r="F37" i="12"/>
  <c r="H37" i="12" s="1"/>
  <c r="E37" i="12"/>
  <c r="D37" i="12"/>
  <c r="M36" i="12"/>
  <c r="H36" i="12"/>
  <c r="M35" i="12"/>
  <c r="H35" i="12"/>
  <c r="M34" i="12"/>
  <c r="H34" i="12"/>
  <c r="M33" i="12"/>
  <c r="H33" i="12"/>
  <c r="M32" i="12"/>
  <c r="H32" i="12"/>
  <c r="M31" i="12"/>
  <c r="H31" i="12"/>
  <c r="M30" i="12"/>
  <c r="H30" i="12"/>
  <c r="E26" i="12"/>
  <c r="F5" i="12"/>
  <c r="H16" i="12"/>
  <c r="I16" i="12"/>
  <c r="H17" i="12"/>
  <c r="I17" i="12"/>
  <c r="H18" i="12"/>
  <c r="I18" i="12"/>
  <c r="H19" i="12"/>
  <c r="I19" i="12"/>
  <c r="I20" i="12" l="1"/>
  <c r="H20" i="12"/>
  <c r="G20" i="12"/>
  <c r="D20" i="12"/>
  <c r="F7" i="12"/>
  <c r="C5" i="12"/>
  <c r="C26" i="12" s="1"/>
  <c r="G26" i="12" s="1"/>
  <c r="H26" i="12" s="1"/>
  <c r="P41" i="25"/>
  <c r="O41" i="25"/>
  <c r="M41" i="25"/>
  <c r="N41" i="25" s="1"/>
  <c r="L41" i="25"/>
  <c r="K41" i="25"/>
  <c r="J41" i="25"/>
  <c r="H41" i="25"/>
  <c r="G41" i="25"/>
  <c r="F41" i="25"/>
  <c r="E41" i="25"/>
  <c r="I41" i="25" s="1"/>
  <c r="N40" i="25"/>
  <c r="I40" i="25"/>
  <c r="D40" i="25"/>
  <c r="B40" i="25"/>
  <c r="N39" i="25"/>
  <c r="I39" i="25"/>
  <c r="D39" i="25"/>
  <c r="B39" i="25"/>
  <c r="N38" i="25"/>
  <c r="I38" i="25"/>
  <c r="D38" i="25"/>
  <c r="B38" i="25"/>
  <c r="N37" i="25"/>
  <c r="I37" i="25"/>
  <c r="D37" i="25"/>
  <c r="B37" i="25"/>
  <c r="N36" i="25"/>
  <c r="I36" i="25"/>
  <c r="D36" i="25"/>
  <c r="B36" i="25"/>
  <c r="N35" i="25"/>
  <c r="I35" i="25"/>
  <c r="D35" i="25"/>
  <c r="B35" i="25"/>
  <c r="N34" i="25"/>
  <c r="I34" i="25"/>
  <c r="D34" i="25"/>
  <c r="B34" i="25"/>
  <c r="N33" i="25"/>
  <c r="I33" i="25"/>
  <c r="D33" i="25"/>
  <c r="D41" i="25" s="1"/>
  <c r="B33" i="25"/>
  <c r="L30" i="25"/>
  <c r="D30" i="25"/>
  <c r="G25" i="25"/>
  <c r="D25" i="25"/>
  <c r="E17" i="25" s="1"/>
  <c r="I24" i="25"/>
  <c r="H24" i="25"/>
  <c r="I23" i="25"/>
  <c r="H23" i="25"/>
  <c r="E23" i="25"/>
  <c r="I22" i="25"/>
  <c r="H22" i="25"/>
  <c r="I21" i="25"/>
  <c r="H21" i="25"/>
  <c r="H12" i="25"/>
  <c r="E13" i="25" s="1"/>
  <c r="E14" i="25" s="1"/>
  <c r="F8" i="25"/>
  <c r="C8" i="25"/>
  <c r="F30" i="25" s="1"/>
  <c r="F7" i="25"/>
  <c r="C7" i="25"/>
  <c r="C6" i="25"/>
  <c r="J5" i="25"/>
  <c r="P41" i="24"/>
  <c r="O41" i="24"/>
  <c r="M41" i="24"/>
  <c r="N41" i="24" s="1"/>
  <c r="L41" i="24"/>
  <c r="K41" i="24"/>
  <c r="J41" i="24"/>
  <c r="H41" i="24"/>
  <c r="G41" i="24"/>
  <c r="F41" i="24"/>
  <c r="E41" i="24"/>
  <c r="I41" i="24" s="1"/>
  <c r="D41" i="24"/>
  <c r="N40" i="24"/>
  <c r="I40" i="24"/>
  <c r="D40" i="24"/>
  <c r="B40" i="24"/>
  <c r="N39" i="24"/>
  <c r="I39" i="24"/>
  <c r="D39" i="24"/>
  <c r="B39" i="24"/>
  <c r="N38" i="24"/>
  <c r="I38" i="24"/>
  <c r="D38" i="24"/>
  <c r="B38" i="24"/>
  <c r="N37" i="24"/>
  <c r="I37" i="24"/>
  <c r="D37" i="24"/>
  <c r="B37" i="24"/>
  <c r="N36" i="24"/>
  <c r="I36" i="24"/>
  <c r="D36" i="24"/>
  <c r="B36" i="24"/>
  <c r="N35" i="24"/>
  <c r="I35" i="24"/>
  <c r="D35" i="24"/>
  <c r="B35" i="24"/>
  <c r="N34" i="24"/>
  <c r="I34" i="24"/>
  <c r="D34" i="24"/>
  <c r="B34" i="24"/>
  <c r="N33" i="24"/>
  <c r="I33" i="24"/>
  <c r="D33" i="24"/>
  <c r="B33" i="24"/>
  <c r="L30" i="24"/>
  <c r="D30" i="24"/>
  <c r="G25" i="24"/>
  <c r="E25" i="24"/>
  <c r="D25" i="24"/>
  <c r="I24" i="24"/>
  <c r="H24" i="24"/>
  <c r="E24" i="24"/>
  <c r="I23" i="24"/>
  <c r="H23" i="24"/>
  <c r="F23" i="24"/>
  <c r="E23" i="24"/>
  <c r="I22" i="24"/>
  <c r="H22" i="24"/>
  <c r="E22" i="24"/>
  <c r="I21" i="24"/>
  <c r="H21" i="24"/>
  <c r="F21" i="24"/>
  <c r="E21" i="24"/>
  <c r="E20" i="24"/>
  <c r="F19" i="24"/>
  <c r="E19" i="24"/>
  <c r="E18" i="24"/>
  <c r="F17" i="24"/>
  <c r="F25" i="24" s="1"/>
  <c r="E17" i="24"/>
  <c r="G13" i="24"/>
  <c r="G14" i="24" s="1"/>
  <c r="H12" i="24"/>
  <c r="E13" i="24" s="1"/>
  <c r="E14" i="24" s="1"/>
  <c r="F8" i="24"/>
  <c r="C8" i="24"/>
  <c r="F30" i="24" s="1"/>
  <c r="J7" i="24"/>
  <c r="I20" i="24" s="1"/>
  <c r="F7" i="24"/>
  <c r="C7" i="24"/>
  <c r="C6" i="24"/>
  <c r="M5" i="24"/>
  <c r="J5" i="24"/>
  <c r="P41" i="23"/>
  <c r="O41" i="23"/>
  <c r="M41" i="23"/>
  <c r="N41" i="23" s="1"/>
  <c r="L41" i="23"/>
  <c r="K41" i="23"/>
  <c r="J41" i="23"/>
  <c r="I41" i="23"/>
  <c r="H41" i="23"/>
  <c r="G41" i="23"/>
  <c r="F41" i="23"/>
  <c r="E41" i="23"/>
  <c r="N40" i="23"/>
  <c r="I40" i="23"/>
  <c r="D40" i="23"/>
  <c r="B40" i="23"/>
  <c r="N39" i="23"/>
  <c r="I39" i="23"/>
  <c r="D39" i="23"/>
  <c r="B39" i="23"/>
  <c r="N38" i="23"/>
  <c r="I38" i="23"/>
  <c r="D38" i="23"/>
  <c r="B38" i="23"/>
  <c r="N37" i="23"/>
  <c r="I37" i="23"/>
  <c r="D37" i="23"/>
  <c r="B37" i="23"/>
  <c r="N36" i="23"/>
  <c r="I36" i="23"/>
  <c r="D36" i="23"/>
  <c r="B36" i="23"/>
  <c r="N35" i="23"/>
  <c r="I35" i="23"/>
  <c r="D35" i="23"/>
  <c r="B35" i="23"/>
  <c r="N34" i="23"/>
  <c r="I34" i="23"/>
  <c r="D34" i="23"/>
  <c r="B34" i="23"/>
  <c r="N33" i="23"/>
  <c r="I33" i="23"/>
  <c r="D33" i="23"/>
  <c r="B33" i="23"/>
  <c r="L30" i="23"/>
  <c r="H30" i="23"/>
  <c r="I30" i="23" s="1"/>
  <c r="D30" i="23"/>
  <c r="G25" i="23"/>
  <c r="D25" i="23"/>
  <c r="E22" i="23" s="1"/>
  <c r="I24" i="23"/>
  <c r="H24" i="23"/>
  <c r="I23" i="23"/>
  <c r="H23" i="23"/>
  <c r="E23" i="23"/>
  <c r="I22" i="23"/>
  <c r="H22" i="23"/>
  <c r="I21" i="23"/>
  <c r="H21" i="23"/>
  <c r="H12" i="23"/>
  <c r="E13" i="23" s="1"/>
  <c r="E14" i="23" s="1"/>
  <c r="F8" i="23"/>
  <c r="F30" i="23"/>
  <c r="F7" i="23"/>
  <c r="C7" i="23"/>
  <c r="C6" i="23"/>
  <c r="J5" i="23"/>
  <c r="P41" i="22"/>
  <c r="O41" i="22"/>
  <c r="M41" i="22"/>
  <c r="N41" i="22" s="1"/>
  <c r="L41" i="22"/>
  <c r="K41" i="22"/>
  <c r="J41" i="22"/>
  <c r="I41" i="22"/>
  <c r="H41" i="22"/>
  <c r="G41" i="22"/>
  <c r="F41" i="22"/>
  <c r="E41" i="22"/>
  <c r="N40" i="22"/>
  <c r="I40" i="22"/>
  <c r="D40" i="22"/>
  <c r="B40" i="22"/>
  <c r="N39" i="22"/>
  <c r="I39" i="22"/>
  <c r="D39" i="22"/>
  <c r="B39" i="22"/>
  <c r="N38" i="22"/>
  <c r="I38" i="22"/>
  <c r="D38" i="22"/>
  <c r="B38" i="22"/>
  <c r="N37" i="22"/>
  <c r="I37" i="22"/>
  <c r="D37" i="22"/>
  <c r="B37" i="22"/>
  <c r="N36" i="22"/>
  <c r="I36" i="22"/>
  <c r="D36" i="22"/>
  <c r="B36" i="22"/>
  <c r="N35" i="22"/>
  <c r="I35" i="22"/>
  <c r="D35" i="22"/>
  <c r="B35" i="22"/>
  <c r="N34" i="22"/>
  <c r="I34" i="22"/>
  <c r="D34" i="22"/>
  <c r="D41" i="22" s="1"/>
  <c r="B34" i="22"/>
  <c r="N33" i="22"/>
  <c r="I33" i="22"/>
  <c r="D33" i="22"/>
  <c r="B33" i="22"/>
  <c r="L30" i="22"/>
  <c r="H30" i="22"/>
  <c r="I30" i="22" s="1"/>
  <c r="D30" i="22"/>
  <c r="G25" i="22"/>
  <c r="D25" i="22"/>
  <c r="E22" i="22" s="1"/>
  <c r="I24" i="22"/>
  <c r="H24" i="22"/>
  <c r="I23" i="22"/>
  <c r="H23" i="22"/>
  <c r="E23" i="22"/>
  <c r="I22" i="22"/>
  <c r="H22" i="22"/>
  <c r="I21" i="22"/>
  <c r="H21" i="22"/>
  <c r="E21" i="22"/>
  <c r="E19" i="22"/>
  <c r="E17" i="22"/>
  <c r="F13" i="22"/>
  <c r="F14" i="22" s="1"/>
  <c r="H12" i="22"/>
  <c r="E13" i="22" s="1"/>
  <c r="E14" i="22" s="1"/>
  <c r="F8" i="22"/>
  <c r="C8" i="22"/>
  <c r="F30" i="22" s="1"/>
  <c r="J7" i="22"/>
  <c r="I20" i="22" s="1"/>
  <c r="F7" i="22"/>
  <c r="C7" i="22"/>
  <c r="C6" i="22"/>
  <c r="J5" i="22"/>
  <c r="P41" i="21"/>
  <c r="O41" i="21"/>
  <c r="M41" i="21"/>
  <c r="N41" i="21" s="1"/>
  <c r="L41" i="21"/>
  <c r="K41" i="21"/>
  <c r="J41" i="21"/>
  <c r="H41" i="21"/>
  <c r="G41" i="21"/>
  <c r="F41" i="21"/>
  <c r="E41" i="21"/>
  <c r="I41" i="21" s="1"/>
  <c r="D41" i="21"/>
  <c r="N40" i="21"/>
  <c r="I40" i="21"/>
  <c r="D40" i="21"/>
  <c r="B40" i="21"/>
  <c r="N39" i="21"/>
  <c r="I39" i="21"/>
  <c r="D39" i="21"/>
  <c r="B39" i="21"/>
  <c r="N38" i="21"/>
  <c r="I38" i="21"/>
  <c r="D38" i="21"/>
  <c r="B38" i="21"/>
  <c r="N37" i="21"/>
  <c r="I37" i="21"/>
  <c r="D37" i="21"/>
  <c r="B37" i="21"/>
  <c r="N36" i="21"/>
  <c r="I36" i="21"/>
  <c r="D36" i="21"/>
  <c r="B36" i="21"/>
  <c r="N35" i="21"/>
  <c r="I35" i="21"/>
  <c r="D35" i="21"/>
  <c r="B35" i="21"/>
  <c r="N34" i="21"/>
  <c r="I34" i="21"/>
  <c r="D34" i="21"/>
  <c r="B34" i="21"/>
  <c r="N33" i="21"/>
  <c r="I33" i="21"/>
  <c r="D33" i="21"/>
  <c r="B33" i="21"/>
  <c r="L30" i="21"/>
  <c r="D30" i="21"/>
  <c r="G25" i="21"/>
  <c r="E25" i="21"/>
  <c r="D25" i="21"/>
  <c r="I24" i="21"/>
  <c r="H24" i="21"/>
  <c r="E24" i="21"/>
  <c r="I23" i="21"/>
  <c r="H23" i="21"/>
  <c r="F23" i="21"/>
  <c r="E23" i="21"/>
  <c r="I22" i="21"/>
  <c r="H22" i="21"/>
  <c r="E22" i="21"/>
  <c r="I21" i="21"/>
  <c r="H21" i="21"/>
  <c r="F21" i="21"/>
  <c r="E21" i="21"/>
  <c r="E20" i="21"/>
  <c r="F19" i="21"/>
  <c r="E19" i="21"/>
  <c r="E18" i="21"/>
  <c r="F17" i="21"/>
  <c r="F25" i="21" s="1"/>
  <c r="E17" i="21"/>
  <c r="G13" i="21"/>
  <c r="G14" i="21" s="1"/>
  <c r="H12" i="21"/>
  <c r="E13" i="21" s="1"/>
  <c r="E14" i="21" s="1"/>
  <c r="F8" i="21"/>
  <c r="C8" i="21"/>
  <c r="F30" i="21" s="1"/>
  <c r="J7" i="21"/>
  <c r="I20" i="21" s="1"/>
  <c r="F7" i="21"/>
  <c r="C7" i="21"/>
  <c r="C6" i="21"/>
  <c r="M5" i="21"/>
  <c r="J5" i="21"/>
  <c r="P41" i="20"/>
  <c r="O41" i="20"/>
  <c r="M41" i="20"/>
  <c r="N41" i="20" s="1"/>
  <c r="L41" i="20"/>
  <c r="K41" i="20"/>
  <c r="J41" i="20"/>
  <c r="H41" i="20"/>
  <c r="G41" i="20"/>
  <c r="I41" i="20" s="1"/>
  <c r="F41" i="20"/>
  <c r="E41" i="20"/>
  <c r="D41" i="20"/>
  <c r="N40" i="20"/>
  <c r="I40" i="20"/>
  <c r="D40" i="20"/>
  <c r="B40" i="20"/>
  <c r="N39" i="20"/>
  <c r="I39" i="20"/>
  <c r="D39" i="20"/>
  <c r="B39" i="20"/>
  <c r="N38" i="20"/>
  <c r="I38" i="20"/>
  <c r="D38" i="20"/>
  <c r="B38" i="20"/>
  <c r="N37" i="20"/>
  <c r="I37" i="20"/>
  <c r="D37" i="20"/>
  <c r="B37" i="20"/>
  <c r="N36" i="20"/>
  <c r="I36" i="20"/>
  <c r="D36" i="20"/>
  <c r="B36" i="20"/>
  <c r="N35" i="20"/>
  <c r="I35" i="20"/>
  <c r="D35" i="20"/>
  <c r="B35" i="20"/>
  <c r="N34" i="20"/>
  <c r="I34" i="20"/>
  <c r="D34" i="20"/>
  <c r="B34" i="20"/>
  <c r="N33" i="20"/>
  <c r="I33" i="20"/>
  <c r="D33" i="20"/>
  <c r="B33" i="20"/>
  <c r="L30" i="20"/>
  <c r="D30" i="20"/>
  <c r="G25" i="20"/>
  <c r="D25" i="20"/>
  <c r="E24" i="20" s="1"/>
  <c r="I24" i="20"/>
  <c r="H24" i="20"/>
  <c r="I23" i="20"/>
  <c r="H23" i="20"/>
  <c r="E23" i="20"/>
  <c r="I22" i="20"/>
  <c r="H22" i="20"/>
  <c r="I21" i="20"/>
  <c r="H21" i="20"/>
  <c r="E21" i="20"/>
  <c r="E19" i="20"/>
  <c r="E17" i="20"/>
  <c r="F13" i="20"/>
  <c r="F14" i="20" s="1"/>
  <c r="E13" i="20"/>
  <c r="E14" i="20" s="1"/>
  <c r="H12" i="20"/>
  <c r="D13" i="20" s="1"/>
  <c r="D14" i="20" s="1"/>
  <c r="F8" i="20"/>
  <c r="C8" i="20"/>
  <c r="F30" i="20" s="1"/>
  <c r="F7" i="20"/>
  <c r="C7" i="20"/>
  <c r="C6" i="20"/>
  <c r="M5" i="20"/>
  <c r="J5" i="20"/>
  <c r="J7" i="25" l="1"/>
  <c r="I20" i="25" s="1"/>
  <c r="F17" i="25"/>
  <c r="F23" i="25"/>
  <c r="E18" i="25"/>
  <c r="E24" i="25"/>
  <c r="E19" i="25"/>
  <c r="F19" i="25"/>
  <c r="E20" i="25"/>
  <c r="M5" i="25"/>
  <c r="E21" i="25"/>
  <c r="F21" i="25"/>
  <c r="E22" i="25"/>
  <c r="G13" i="25"/>
  <c r="G14" i="25" s="1"/>
  <c r="E17" i="23"/>
  <c r="E19" i="23"/>
  <c r="E21" i="23"/>
  <c r="D41" i="23"/>
  <c r="F13" i="23"/>
  <c r="F14" i="23" s="1"/>
  <c r="G13" i="23"/>
  <c r="G14" i="23" s="1"/>
  <c r="I20" i="23"/>
  <c r="E12" i="12"/>
  <c r="E19" i="12"/>
  <c r="E17" i="12"/>
  <c r="E18" i="12"/>
  <c r="F8" i="12"/>
  <c r="E16" i="12"/>
  <c r="E15" i="12"/>
  <c r="D5" i="31"/>
  <c r="D5" i="26"/>
  <c r="D5" i="28"/>
  <c r="D5" i="30"/>
  <c r="D5" i="27"/>
  <c r="D5" i="29"/>
  <c r="E14" i="12"/>
  <c r="C8" i="12"/>
  <c r="E13" i="12"/>
  <c r="F13" i="25"/>
  <c r="F14" i="25" s="1"/>
  <c r="H30" i="25"/>
  <c r="I30" i="25" s="1"/>
  <c r="I17" i="25"/>
  <c r="J6" i="25"/>
  <c r="C13" i="25"/>
  <c r="C14" i="25" s="1"/>
  <c r="F18" i="25"/>
  <c r="F20" i="25"/>
  <c r="F22" i="25"/>
  <c r="F24" i="25"/>
  <c r="I25" i="25"/>
  <c r="M6" i="25"/>
  <c r="D13" i="25"/>
  <c r="D14" i="25" s="1"/>
  <c r="I19" i="25"/>
  <c r="I18" i="25"/>
  <c r="F13" i="24"/>
  <c r="F14" i="24" s="1"/>
  <c r="H30" i="24"/>
  <c r="I30" i="24" s="1"/>
  <c r="I17" i="24"/>
  <c r="J6" i="24"/>
  <c r="C13" i="24"/>
  <c r="C14" i="24" s="1"/>
  <c r="H14" i="24" s="1"/>
  <c r="F18" i="24"/>
  <c r="F20" i="24"/>
  <c r="F22" i="24"/>
  <c r="F24" i="24"/>
  <c r="I25" i="24"/>
  <c r="M6" i="24"/>
  <c r="D13" i="24"/>
  <c r="D14" i="24" s="1"/>
  <c r="I19" i="24"/>
  <c r="I18" i="24"/>
  <c r="F21" i="23"/>
  <c r="M5" i="23"/>
  <c r="I17" i="23"/>
  <c r="I19" i="23"/>
  <c r="E18" i="23"/>
  <c r="E24" i="23"/>
  <c r="C13" i="23"/>
  <c r="C14" i="23" s="1"/>
  <c r="H14" i="23" s="1"/>
  <c r="F18" i="23"/>
  <c r="F25" i="23" s="1"/>
  <c r="F20" i="23"/>
  <c r="F22" i="23"/>
  <c r="F24" i="23"/>
  <c r="I25" i="23"/>
  <c r="F23" i="23"/>
  <c r="E20" i="23"/>
  <c r="M6" i="23"/>
  <c r="D13" i="23"/>
  <c r="D14" i="23" s="1"/>
  <c r="F19" i="23"/>
  <c r="I18" i="23"/>
  <c r="G13" i="22"/>
  <c r="G14" i="22" s="1"/>
  <c r="F17" i="22"/>
  <c r="F25" i="22" s="1"/>
  <c r="F19" i="22"/>
  <c r="F21" i="22"/>
  <c r="F23" i="22"/>
  <c r="E20" i="22"/>
  <c r="E24" i="22"/>
  <c r="J6" i="22"/>
  <c r="C13" i="22"/>
  <c r="C14" i="22" s="1"/>
  <c r="H14" i="22" s="1"/>
  <c r="F18" i="22"/>
  <c r="F20" i="22"/>
  <c r="F22" i="22"/>
  <c r="F24" i="22"/>
  <c r="I25" i="22"/>
  <c r="I17" i="22"/>
  <c r="M6" i="22"/>
  <c r="D13" i="22"/>
  <c r="D14" i="22" s="1"/>
  <c r="M5" i="22"/>
  <c r="I19" i="22"/>
  <c r="E18" i="22"/>
  <c r="E25" i="22" s="1"/>
  <c r="I18" i="22"/>
  <c r="F13" i="21"/>
  <c r="F14" i="21" s="1"/>
  <c r="H30" i="21"/>
  <c r="I30" i="21" s="1"/>
  <c r="I17" i="21"/>
  <c r="J6" i="21"/>
  <c r="C13" i="21"/>
  <c r="C14" i="21" s="1"/>
  <c r="H14" i="21" s="1"/>
  <c r="F18" i="21"/>
  <c r="F20" i="21"/>
  <c r="F22" i="21"/>
  <c r="F24" i="21"/>
  <c r="I25" i="21"/>
  <c r="I19" i="21"/>
  <c r="M6" i="21"/>
  <c r="D13" i="21"/>
  <c r="D14" i="21" s="1"/>
  <c r="I18" i="21"/>
  <c r="H30" i="20"/>
  <c r="I30" i="20" s="1"/>
  <c r="J7" i="20"/>
  <c r="G13" i="20"/>
  <c r="G14" i="20" s="1"/>
  <c r="F17" i="20"/>
  <c r="F19" i="20"/>
  <c r="F21" i="20"/>
  <c r="F23" i="20"/>
  <c r="E18" i="20"/>
  <c r="E25" i="20" s="1"/>
  <c r="E20" i="20"/>
  <c r="E22" i="20"/>
  <c r="J6" i="20"/>
  <c r="C13" i="20"/>
  <c r="C14" i="20" s="1"/>
  <c r="H14" i="20" s="1"/>
  <c r="F18" i="20"/>
  <c r="F20" i="20"/>
  <c r="F22" i="20"/>
  <c r="F24" i="20"/>
  <c r="M6" i="20"/>
  <c r="F8" i="1"/>
  <c r="F7" i="1"/>
  <c r="P41" i="1"/>
  <c r="O41" i="1"/>
  <c r="M41" i="1"/>
  <c r="L41" i="1"/>
  <c r="K41" i="1"/>
  <c r="J41" i="1"/>
  <c r="H41" i="1"/>
  <c r="G41" i="1"/>
  <c r="F41" i="1"/>
  <c r="E41" i="1"/>
  <c r="G25" i="1"/>
  <c r="N34" i="1"/>
  <c r="N35" i="1"/>
  <c r="N36" i="1"/>
  <c r="N37" i="1"/>
  <c r="N38" i="1"/>
  <c r="N39" i="1"/>
  <c r="N40" i="1"/>
  <c r="N33" i="1"/>
  <c r="I34" i="1"/>
  <c r="I35" i="1"/>
  <c r="I36" i="1"/>
  <c r="I37" i="1"/>
  <c r="I38" i="1"/>
  <c r="I39" i="1"/>
  <c r="I40" i="1"/>
  <c r="I33" i="1"/>
  <c r="C6" i="1"/>
  <c r="C6" i="12" s="1"/>
  <c r="C7" i="1"/>
  <c r="E25" i="25" l="1"/>
  <c r="F25" i="25"/>
  <c r="H14" i="25"/>
  <c r="E25" i="23"/>
  <c r="J7" i="12"/>
  <c r="J6" i="12"/>
  <c r="J5" i="1"/>
  <c r="C7" i="12"/>
  <c r="J5" i="12" s="1"/>
  <c r="F13" i="12" s="1"/>
  <c r="E20" i="12"/>
  <c r="H25" i="25"/>
  <c r="H20" i="25"/>
  <c r="H18" i="25"/>
  <c r="H17" i="25"/>
  <c r="H19" i="25"/>
  <c r="H20" i="24"/>
  <c r="H18" i="24"/>
  <c r="H17" i="24"/>
  <c r="H19" i="24"/>
  <c r="H25" i="24"/>
  <c r="H20" i="23"/>
  <c r="H18" i="23"/>
  <c r="H25" i="23"/>
  <c r="H19" i="23"/>
  <c r="H17" i="23"/>
  <c r="H25" i="22"/>
  <c r="H20" i="22"/>
  <c r="H18" i="22"/>
  <c r="H19" i="22"/>
  <c r="H17" i="22"/>
  <c r="H25" i="21"/>
  <c r="H19" i="21"/>
  <c r="H20" i="21"/>
  <c r="H18" i="21"/>
  <c r="H17" i="21"/>
  <c r="H19" i="20"/>
  <c r="H20" i="20"/>
  <c r="H18" i="20"/>
  <c r="H25" i="20"/>
  <c r="H17" i="20"/>
  <c r="I20" i="20"/>
  <c r="I18" i="20"/>
  <c r="I17" i="20"/>
  <c r="I19" i="20"/>
  <c r="I25" i="20"/>
  <c r="F25" i="20"/>
  <c r="I41" i="1"/>
  <c r="N41" i="1"/>
  <c r="H30" i="1"/>
  <c r="I30" i="1" s="1"/>
  <c r="C5" i="3"/>
  <c r="I24" i="1"/>
  <c r="H24" i="1"/>
  <c r="H12" i="1"/>
  <c r="C13" i="1" s="1"/>
  <c r="H12" i="12" l="1"/>
  <c r="H14" i="12"/>
  <c r="H13" i="12"/>
  <c r="H15" i="12"/>
  <c r="F12" i="12"/>
  <c r="F16" i="12"/>
  <c r="F15" i="12"/>
  <c r="I12" i="12"/>
  <c r="I13" i="12"/>
  <c r="I14" i="12"/>
  <c r="I15" i="12"/>
  <c r="F19" i="12"/>
  <c r="F18" i="12"/>
  <c r="F17" i="12"/>
  <c r="F14" i="12"/>
  <c r="D30" i="1"/>
  <c r="C14" i="1"/>
  <c r="J6" i="1"/>
  <c r="D25" i="1"/>
  <c r="B33" i="1"/>
  <c r="D33" i="1"/>
  <c r="B34" i="1"/>
  <c r="D34" i="1"/>
  <c r="B35" i="1"/>
  <c r="D35" i="1"/>
  <c r="B36" i="1"/>
  <c r="D36" i="1"/>
  <c r="B37" i="1"/>
  <c r="D37" i="1"/>
  <c r="B38" i="1"/>
  <c r="D38" i="1"/>
  <c r="B39" i="1"/>
  <c r="D39" i="1"/>
  <c r="B40" i="1"/>
  <c r="D40" i="1"/>
  <c r="B5" i="31" l="1"/>
  <c r="B5" i="26"/>
  <c r="B5" i="30"/>
  <c r="B5" i="29"/>
  <c r="B5" i="28"/>
  <c r="B5" i="27"/>
  <c r="F21" i="1"/>
  <c r="F17" i="1"/>
  <c r="F20" i="12"/>
  <c r="M5" i="1"/>
  <c r="E5" i="3" s="1"/>
  <c r="D41" i="1"/>
  <c r="F18" i="1"/>
  <c r="F22" i="1"/>
  <c r="F20" i="1"/>
  <c r="F19" i="1"/>
  <c r="F24" i="1"/>
  <c r="F23" i="1"/>
  <c r="J7" i="1"/>
  <c r="I23" i="1"/>
  <c r="H23" i="1"/>
  <c r="D5" i="3"/>
  <c r="H21" i="1"/>
  <c r="I22" i="1"/>
  <c r="M6" i="1"/>
  <c r="B5" i="3"/>
  <c r="E22" i="1"/>
  <c r="F30" i="1"/>
  <c r="E19" i="1"/>
  <c r="E20" i="1"/>
  <c r="E24" i="1"/>
  <c r="E21" i="1"/>
  <c r="E18" i="1"/>
  <c r="E23" i="1"/>
  <c r="E17" i="1"/>
  <c r="G13" i="1"/>
  <c r="G14" i="1" s="1"/>
  <c r="D13" i="1"/>
  <c r="D14" i="1" s="1"/>
  <c r="E13" i="1"/>
  <c r="E14" i="1" s="1"/>
  <c r="F13" i="1"/>
  <c r="F14" i="1" s="1"/>
  <c r="F5" i="31" l="1"/>
  <c r="F5" i="28"/>
  <c r="F5" i="30"/>
  <c r="F5" i="27"/>
  <c r="F5" i="29"/>
  <c r="F5" i="26"/>
  <c r="E5" i="26"/>
  <c r="E5" i="31"/>
  <c r="E5" i="28"/>
  <c r="E5" i="30"/>
  <c r="E5" i="27"/>
  <c r="E5" i="29"/>
  <c r="F5" i="3"/>
  <c r="H18" i="1"/>
  <c r="I21" i="1"/>
  <c r="F25" i="1"/>
  <c r="H22" i="1"/>
  <c r="H19" i="1"/>
  <c r="H25" i="1"/>
  <c r="H17" i="1"/>
  <c r="H20" i="1"/>
  <c r="I19" i="1"/>
  <c r="I20" i="1"/>
  <c r="I17" i="1"/>
  <c r="I25" i="1"/>
  <c r="I18" i="1"/>
  <c r="H14" i="1"/>
  <c r="E25" i="1"/>
</calcChain>
</file>

<file path=xl/sharedStrings.xml><?xml version="1.0" encoding="utf-8"?>
<sst xmlns="http://schemas.openxmlformats.org/spreadsheetml/2006/main" count="1025" uniqueCount="136">
  <si>
    <t>TOTAL</t>
  </si>
  <si>
    <t>SLP</t>
  </si>
  <si>
    <t>ATV</t>
  </si>
  <si>
    <t>WEARABLES</t>
  </si>
  <si>
    <t>KIDS</t>
  </si>
  <si>
    <t>CAREKITS</t>
  </si>
  <si>
    <t>AUR</t>
  </si>
  <si>
    <t>SLP
EOD</t>
  </si>
  <si>
    <t>WEARABLES %</t>
  </si>
  <si>
    <t>CAREKITS%</t>
  </si>
  <si>
    <t>KIDS%</t>
  </si>
  <si>
    <t>ONESIGHT</t>
  </si>
  <si>
    <t>ENFOQUE DIARIO! - Nuestra meta</t>
  </si>
  <si>
    <t>Semana:</t>
  </si>
  <si>
    <t>Día:</t>
  </si>
  <si>
    <t>¿QÚE ESPERAMOS LOGRAR HOY?</t>
  </si>
  <si>
    <t>META DEL DÍA</t>
  </si>
  <si>
    <t>ANÁLOGOS</t>
  </si>
  <si>
    <t>TOTAL DE UNIDADES</t>
  </si>
  <si>
    <t>CONVERSIÓN (NO NEGOCIABLE)</t>
  </si>
  <si>
    <t>META DE CONVERSIÓN (LY+1P.P)</t>
  </si>
  <si>
    <t>META TRANSACCIONES</t>
  </si>
  <si>
    <t>OTROS NO NEGOCIABLES</t>
  </si>
  <si>
    <t>UNIDADES</t>
  </si>
  <si>
    <t>META DE PRODUCTIVIDAD</t>
  </si>
  <si>
    <t>VENTA NETA (NS)</t>
  </si>
  <si>
    <t>CAPTURA LOS VALORES ACUMULADOS DEL MES (MTD)</t>
  </si>
  <si>
    <t>TRÁFICO POR HORA</t>
  </si>
  <si>
    <t>PESO DEL TRÁFICO (%)</t>
  </si>
  <si>
    <t>META (NS) X HORA</t>
  </si>
  <si>
    <t>APERTURA-1pm</t>
  </si>
  <si>
    <t>1pm - 3pm</t>
  </si>
  <si>
    <t>3pm-5pm</t>
  </si>
  <si>
    <t>COLABORADORES</t>
  </si>
  <si>
    <t>HORAS PROGRAMADAS</t>
  </si>
  <si>
    <t>META DE VENTA</t>
  </si>
  <si>
    <t>WEARABLES 
POR VENDER</t>
  </si>
  <si>
    <t>KIDS
POR VENDER</t>
  </si>
  <si>
    <t>CK 
POR VENDER</t>
  </si>
  <si>
    <t>¿CÓMO VAMOS?</t>
  </si>
  <si>
    <t>VENTA NETA</t>
  </si>
  <si>
    <t>META</t>
  </si>
  <si>
    <t>META UNIDADES</t>
  </si>
  <si>
    <t>VENTA UNIDADES</t>
  </si>
  <si>
    <t>CONVERSION (%)</t>
  </si>
  <si>
    <t>CRECIMIENTO CONVERSION (%)</t>
  </si>
  <si>
    <t>TOTAL DEL DÍA</t>
  </si>
  <si>
    <t>COLABORADOR</t>
  </si>
  <si>
    <t>INTERACCIONES DURANTE EL DÍA</t>
  </si>
  <si>
    <t>CLIENTES CONVERTIDOS DURANTE EL DÍA</t>
  </si>
  <si>
    <t>CONVERSION
AL CIERRE</t>
  </si>
  <si>
    <t>VENTA NETA
AL CIERRE</t>
  </si>
  <si>
    <t>UNIDADES ANALOGAS 
AL CIERRE</t>
  </si>
  <si>
    <t>KIDS
AL CIERRE</t>
  </si>
  <si>
    <t>CAREKITS
AL CIERRE</t>
  </si>
  <si>
    <t>TRÁFICO ESPERADO</t>
  </si>
  <si>
    <t>LAS CELDAS EN COLOR VERDE SE LLENAN AUTOMÁTICAMENTE</t>
  </si>
  <si>
    <t>COMP LY</t>
  </si>
  <si>
    <t>ANALOGOS 
POR VENDER</t>
  </si>
  <si>
    <t>ENFOQUE DIARIO! - Nuestro plan de acción</t>
  </si>
  <si>
    <t>¿QÚE ESPERAMOS PARA EL DÍA DE HOY?</t>
  </si>
  <si>
    <t>META (NS)</t>
  </si>
  <si>
    <t>META PIEZAS</t>
  </si>
  <si>
    <t>META (NS) PRODUCTIVIDAD</t>
  </si>
  <si>
    <t>META UNIDADES PRODUCTIVIDAD</t>
  </si>
  <si>
    <t>NUESTROS ESTÁNDARES</t>
  </si>
  <si>
    <t>NUESTROS NO NEGOCIABLES</t>
  </si>
  <si>
    <t>CUSTOMER JOURNEY</t>
  </si>
  <si>
    <t>TU ENFOQUE PARA HOY</t>
  </si>
  <si>
    <t>LOGROS DE HOY Y OPORTUNIDADES PARA MAÑANA</t>
  </si>
  <si>
    <r>
      <rPr>
        <b/>
        <sz val="10"/>
        <color theme="1"/>
        <rFont val="Aptos Narrow"/>
        <family val="2"/>
        <scheme val="minor"/>
      </rPr>
      <t xml:space="preserve">EL SEGUIMIENTO ES FUNDAMENTAL
</t>
    </r>
    <r>
      <rPr>
        <sz val="10"/>
        <color theme="1"/>
        <rFont val="Aptos Narrow"/>
        <family val="2"/>
        <scheme val="minor"/>
      </rPr>
      <t>Durante todo el día da seguimiento al desempeño de cada colaborador. El Store Dashboard es la principal herramienta para monitorear resultados, impulsar el desempeño y reaccionar oportunamente cuando las ventas sean lentas.</t>
    </r>
  </si>
  <si>
    <r>
      <rPr>
        <b/>
        <sz val="10"/>
        <color theme="1"/>
        <rFont val="Aptos Narrow"/>
        <family val="2"/>
        <scheme val="minor"/>
      </rPr>
      <t>LIMPIEZA DE LA TIENDA</t>
    </r>
    <r>
      <rPr>
        <sz val="10"/>
        <color theme="1"/>
        <rFont val="Aptos Narrow"/>
        <family val="2"/>
        <scheme val="minor"/>
      </rPr>
      <t xml:space="preserve">
Barre, limpia y desinfecta. Asegúrate de que la tienda luzca impecable. Pon especial atención al piso de ventas, aparadores, espejos, mobiliario, puerta de acceso, baño y almacén.</t>
    </r>
  </si>
  <si>
    <r>
      <rPr>
        <b/>
        <sz val="10"/>
        <color theme="1"/>
        <rFont val="Aptos Narrow"/>
        <family val="2"/>
        <scheme val="minor"/>
      </rPr>
      <t xml:space="preserve">SIN USO DE TELÉFONOS CELULARES
</t>
    </r>
    <r>
      <rPr>
        <sz val="10"/>
        <color theme="1"/>
        <rFont val="Aptos Narrow"/>
        <family val="2"/>
        <scheme val="minor"/>
      </rPr>
      <t>Evita el uso del teléfono personal durante la jornada laboral. La navegación, publicaciones y mensajes personales deben realizarse fuera del horario de trabajo.</t>
    </r>
  </si>
  <si>
    <t>¿Cuál debe ser nuestro ritmo de venta hoy?</t>
  </si>
  <si>
    <r>
      <rPr>
        <b/>
        <sz val="10"/>
        <color theme="1"/>
        <rFont val="Aptos Narrow"/>
        <family val="2"/>
        <scheme val="minor"/>
      </rPr>
      <t>AJUSTE PERFECTO</t>
    </r>
    <r>
      <rPr>
        <sz val="10"/>
        <color theme="1"/>
        <rFont val="Aptos Narrow"/>
        <family val="2"/>
        <scheme val="minor"/>
      </rPr>
      <t xml:space="preserve">
Un cliente se siente mucho más satisfecho cuando sus lentes quedan perfectamente ajustados. Dedica el tiempo necesario para lograr un ajuste cómodo y personalizado.</t>
    </r>
  </si>
  <si>
    <t>VENTA NETA LY (NS)</t>
  </si>
  <si>
    <t>Tienda:</t>
  </si>
  <si>
    <t>*Si las unidades dan como resultado menor a cero, el objetivo será mínimo una unidad.</t>
  </si>
  <si>
    <r>
      <rPr>
        <b/>
        <sz val="10"/>
        <color theme="1"/>
        <rFont val="Aptos Narrow"/>
        <family val="2"/>
        <scheme val="minor"/>
      </rPr>
      <t>IMAGEN PERSONAL</t>
    </r>
    <r>
      <rPr>
        <sz val="10"/>
        <color theme="1"/>
        <rFont val="Aptos Narrow"/>
        <family val="2"/>
        <scheme val="minor"/>
      </rPr>
      <t xml:space="preserve">
Somos embajadores de la marca, por lo que nuestra imagen debe reflejar los valores de Sunglass Hut.</t>
    </r>
  </si>
  <si>
    <r>
      <rPr>
        <b/>
        <sz val="10"/>
        <color theme="1"/>
        <rFont val="Aptos Narrow"/>
        <family val="2"/>
        <scheme val="minor"/>
      </rPr>
      <t>REÚNETE CON EL EQUIPO</t>
    </r>
    <r>
      <rPr>
        <sz val="10"/>
        <color theme="1"/>
        <rFont val="Aptos Narrow"/>
        <family val="2"/>
        <scheme val="minor"/>
      </rPr>
      <t xml:space="preserve">
La junta matutina es clave para tener un gran día. Asegúrate de comunicar: Cómo vamos en la semana y en el mes. La meta del día y las acciones clave para alcanzarla.</t>
    </r>
  </si>
  <si>
    <r>
      <t xml:space="preserve">RECORDATORIO DE ENTRADA Y SALIDA
</t>
    </r>
    <r>
      <rPr>
        <sz val="10"/>
        <color theme="1"/>
        <rFont val="Aptos Narrow"/>
        <family val="2"/>
        <scheme val="minor"/>
      </rPr>
      <t>Al iniciar el día, recuerda al equipo registrar su entrada y, al finalizar su turno, registrar su salida. La precisión de estos registros impacta directamente en los indicadores de productividad.</t>
    </r>
  </si>
  <si>
    <r>
      <rPr>
        <b/>
        <sz val="10"/>
        <color theme="1"/>
        <rFont val="Aptos Narrow"/>
        <family val="2"/>
        <scheme val="minor"/>
      </rPr>
      <t xml:space="preserve">MANTENTE FUERA DE LA CAJA Y RESPETA TU ZONA (si aplica)
</t>
    </r>
    <r>
      <rPr>
        <sz val="10"/>
        <color theme="1"/>
        <rFont val="Aptos Narrow"/>
        <family val="2"/>
        <scheme val="minor"/>
      </rPr>
      <t>A menos que estés realizando una venta en caja, evita permanecer detrás del mostrador. Si tienes una zona asignada, respétala. Mantén una actitud positiva y utiliza tu energía para atraer clientes a la tienda.</t>
    </r>
  </si>
  <si>
    <t>META DIARIA</t>
  </si>
  <si>
    <t>META IDEAL (NS)*</t>
  </si>
  <si>
    <t>5pm-7pm</t>
  </si>
  <si>
    <t>7pm-CIERRE</t>
  </si>
  <si>
    <t>CONVERSION WEREABLE</t>
  </si>
  <si>
    <r>
      <rPr>
        <b/>
        <sz val="10"/>
        <color theme="1"/>
        <rFont val="Aptos Narrow"/>
        <family val="2"/>
        <scheme val="minor"/>
      </rPr>
      <t>PULIR ES PODER</t>
    </r>
    <r>
      <rPr>
        <sz val="10"/>
        <color theme="1"/>
        <rFont val="Aptos Narrow"/>
        <family val="2"/>
        <scheme val="minor"/>
      </rPr>
      <t xml:space="preserve">
Tu paño de limpieza es una herramienta para generar conexión con el cliente y demostrar el valor del producto. Ofrece limpiar sus lentes al iniciar la conversación para crear una experiencia positiva desde el primer contacto.</t>
    </r>
  </si>
  <si>
    <r>
      <rPr>
        <b/>
        <sz val="10"/>
        <color theme="1"/>
        <rFont val="Aptos Narrow"/>
        <family val="2"/>
        <scheme val="minor"/>
      </rPr>
      <t>PÓNTELOS</t>
    </r>
    <r>
      <rPr>
        <sz val="10"/>
        <color theme="1"/>
        <rFont val="Aptos Narrow"/>
        <family val="2"/>
        <scheme val="minor"/>
      </rPr>
      <t xml:space="preserve">
Cuando el cliente se prueba los productos, aumenta su interés y la intención de compra. Utiliza la bandeja de exhibición para ayudarle a comparar opciones e invítalo a probar diferentes modelos hasta encontrar el ideal.</t>
    </r>
  </si>
  <si>
    <r>
      <rPr>
        <b/>
        <sz val="10"/>
        <color theme="1"/>
        <rFont val="Aptos Narrow"/>
        <family val="2"/>
        <scheme val="minor"/>
      </rPr>
      <t>DIVIÉRTETE MÁS</t>
    </r>
    <r>
      <rPr>
        <sz val="10"/>
        <color theme="1"/>
        <rFont val="Aptos Narrow"/>
        <family val="2"/>
        <scheme val="minor"/>
      </rPr>
      <t xml:space="preserve">
La venta no termina con el primer par. Aprovecha la oportunidad para mostrar tres o cuatro opciones adicionales y aumentar las posibilidades de realizar una venta múltiple.</t>
    </r>
  </si>
  <si>
    <r>
      <rPr>
        <b/>
        <sz val="10"/>
        <color theme="1"/>
        <rFont val="Aptos Narrow"/>
        <family val="2"/>
        <scheme val="minor"/>
      </rPr>
      <t>CUIDALOS</t>
    </r>
    <r>
      <rPr>
        <sz val="10"/>
        <color theme="1"/>
        <rFont val="Aptos Narrow"/>
        <family val="2"/>
        <scheme val="minor"/>
      </rPr>
      <t xml:space="preserve">
Enseñar al cliente cómo cuidar sus lentes mejora su experiencia y fortalece tu papel como asesor especializado.</t>
    </r>
  </si>
  <si>
    <t xml:space="preserve">*Si tienes adeudo en la semana puedes ajustar la meta ideal </t>
  </si>
  <si>
    <t>ENFOQUE SEMANAL</t>
  </si>
  <si>
    <t>ELIAS</t>
  </si>
  <si>
    <t>CATALINA</t>
  </si>
  <si>
    <t>VICTOR</t>
  </si>
  <si>
    <t>JIMENA</t>
  </si>
  <si>
    <t>Además de cumplir con la meta diaria de la tienda para los No Negociables, cada colaborador debe procurar vender durante su turno al menos:
1 armazón Kids
1 CareKit</t>
  </si>
  <si>
    <t>LOS CINCO SECRETOS / BRANDIES</t>
  </si>
  <si>
    <t>UNIDADES WEARABLES 
AL CIERRE</t>
  </si>
  <si>
    <t>DEMOSTRACIONES WEARABLES 
AL CIERRE</t>
  </si>
  <si>
    <t>EMPIEZA UNA RELACION</t>
  </si>
  <si>
    <t>INTERACTÚA Y RELACIONA</t>
  </si>
  <si>
    <t>Observa al cliente y adapta tu acercamiento.</t>
  </si>
  <si>
    <t>GÁNATE SU CONFIANZA</t>
  </si>
  <si>
    <t>DESCUBRE Y APRENDE</t>
  </si>
  <si>
    <r>
      <t xml:space="preserve">Da la bienvenida </t>
    </r>
    <r>
      <rPr>
        <b/>
        <sz val="10"/>
        <color theme="1"/>
        <rFont val="Aptos Narrow"/>
        <scheme val="minor"/>
      </rPr>
      <t>genuinamente</t>
    </r>
    <r>
      <rPr>
        <sz val="10"/>
        <color theme="1"/>
        <rFont val="Aptos Narrow"/>
        <family val="2"/>
        <scheme val="minor"/>
      </rPr>
      <t>.</t>
    </r>
  </si>
  <si>
    <r>
      <t xml:space="preserve">Ofrécete a </t>
    </r>
    <r>
      <rPr>
        <b/>
        <sz val="10"/>
        <color theme="1"/>
        <rFont val="Aptos Narrow"/>
        <scheme val="minor"/>
      </rPr>
      <t>limpiar y ajustar</t>
    </r>
    <r>
      <rPr>
        <sz val="10"/>
        <color theme="1"/>
        <rFont val="Aptos Narrow"/>
        <family val="2"/>
        <scheme val="minor"/>
      </rPr>
      <t xml:space="preserve"> sus gafas.</t>
    </r>
  </si>
  <si>
    <r>
      <t xml:space="preserve">Descubre el </t>
    </r>
    <r>
      <rPr>
        <b/>
        <sz val="10"/>
        <color theme="1"/>
        <rFont val="Aptos Narrow"/>
        <scheme val="minor"/>
      </rPr>
      <t>próposito</t>
    </r>
    <r>
      <rPr>
        <sz val="10"/>
        <color theme="1"/>
        <rFont val="Aptos Narrow"/>
        <family val="2"/>
        <scheme val="minor"/>
      </rPr>
      <t xml:space="preserve"> de la visita.</t>
    </r>
  </si>
  <si>
    <r>
      <t xml:space="preserve">Presenta </t>
    </r>
    <r>
      <rPr>
        <b/>
        <sz val="10"/>
        <color theme="1"/>
        <rFont val="Aptos Narrow"/>
        <scheme val="minor"/>
      </rPr>
      <t>Wearables, Smart Shopper y las novedades</t>
    </r>
    <r>
      <rPr>
        <sz val="10"/>
        <color theme="1"/>
        <rFont val="Aptos Narrow"/>
        <family val="2"/>
        <scheme val="minor"/>
      </rPr>
      <t>.</t>
    </r>
  </si>
  <si>
    <r>
      <t xml:space="preserve">Identifica </t>
    </r>
    <r>
      <rPr>
        <b/>
        <sz val="10"/>
        <color theme="1"/>
        <rFont val="Aptos Narrow"/>
        <scheme val="minor"/>
      </rPr>
      <t>necesidades</t>
    </r>
    <r>
      <rPr>
        <sz val="10"/>
        <color theme="1"/>
        <rFont val="Aptos Narrow"/>
        <family val="2"/>
        <scheme val="minor"/>
      </rPr>
      <t xml:space="preserve"> (emocional/racional).</t>
    </r>
  </si>
  <si>
    <r>
      <t xml:space="preserve">Haz </t>
    </r>
    <r>
      <rPr>
        <b/>
        <sz val="9"/>
        <color theme="1"/>
        <rFont val="Aptos Narrow"/>
        <scheme val="minor"/>
      </rPr>
      <t>preguntas abiertas</t>
    </r>
    <r>
      <rPr>
        <sz val="9"/>
        <color theme="1"/>
        <rFont val="Aptos Narrow"/>
        <family val="2"/>
        <scheme val="minor"/>
      </rPr>
      <t>, escucha.</t>
    </r>
  </si>
  <si>
    <r>
      <t xml:space="preserve">Recomienda </t>
    </r>
    <r>
      <rPr>
        <b/>
        <sz val="10"/>
        <color theme="1"/>
        <rFont val="Aptos Narrow"/>
        <scheme val="minor"/>
      </rPr>
      <t>múltiples</t>
    </r>
    <r>
      <rPr>
        <sz val="10"/>
        <color theme="1"/>
        <rFont val="Aptos Narrow"/>
        <family val="2"/>
        <scheme val="minor"/>
      </rPr>
      <t>.</t>
    </r>
  </si>
  <si>
    <r>
      <t xml:space="preserve">Presenta las características como </t>
    </r>
    <r>
      <rPr>
        <b/>
        <sz val="10"/>
        <color theme="1"/>
        <rFont val="Aptos Narrow"/>
        <scheme val="minor"/>
      </rPr>
      <t>beneficios</t>
    </r>
    <r>
      <rPr>
        <sz val="10"/>
        <color theme="1"/>
        <rFont val="Aptos Narrow"/>
        <family val="2"/>
        <scheme val="minor"/>
      </rPr>
      <t>.</t>
    </r>
  </si>
  <si>
    <t>Comparte tu experiencia en formas y estilos.
Aprovecha promociones y realiza venta adicional (Cross Selling).</t>
  </si>
  <si>
    <r>
      <t xml:space="preserve">Ofrece </t>
    </r>
    <r>
      <rPr>
        <b/>
        <sz val="10"/>
        <color theme="1"/>
        <rFont val="Aptos Narrow"/>
        <scheme val="minor"/>
      </rPr>
      <t>Care Kits</t>
    </r>
    <r>
      <rPr>
        <sz val="10"/>
        <color theme="1"/>
        <rFont val="Aptos Narrow"/>
        <family val="2"/>
        <scheme val="minor"/>
      </rPr>
      <t>.</t>
    </r>
  </si>
  <si>
    <r>
      <t xml:space="preserve">Gestiona las </t>
    </r>
    <r>
      <rPr>
        <b/>
        <sz val="10"/>
        <color theme="1"/>
        <rFont val="Aptos Narrow"/>
        <scheme val="minor"/>
      </rPr>
      <t>objeciones</t>
    </r>
    <r>
      <rPr>
        <sz val="10"/>
        <color theme="1"/>
        <rFont val="Aptos Narrow"/>
        <family val="2"/>
        <scheme val="minor"/>
      </rPr>
      <t xml:space="preserve"> como </t>
    </r>
    <r>
      <rPr>
        <b/>
        <sz val="10"/>
        <color theme="1"/>
        <rFont val="Aptos Narrow"/>
        <scheme val="minor"/>
      </rPr>
      <t>oportunidades</t>
    </r>
    <r>
      <rPr>
        <sz val="10"/>
        <color theme="1"/>
        <rFont val="Aptos Narrow"/>
        <family val="2"/>
        <scheme val="minor"/>
      </rPr>
      <t>.</t>
    </r>
  </si>
  <si>
    <t>GANA LEALTAD</t>
  </si>
  <si>
    <t>VE MÁS ALLÁ</t>
  </si>
  <si>
    <r>
      <rPr>
        <b/>
        <sz val="10"/>
        <color theme="1"/>
        <rFont val="Aptos Narrow"/>
        <scheme val="minor"/>
      </rPr>
      <t>Guía la compra</t>
    </r>
    <r>
      <rPr>
        <sz val="10"/>
        <color theme="1"/>
        <rFont val="Aptos Narrow"/>
        <family val="2"/>
        <scheme val="minor"/>
      </rPr>
      <t xml:space="preserve"> con preguntas cerradas.</t>
    </r>
  </si>
  <si>
    <r>
      <t>Propón</t>
    </r>
    <r>
      <rPr>
        <b/>
        <sz val="10"/>
        <color theme="1"/>
        <rFont val="Aptos Narrow"/>
        <scheme val="minor"/>
      </rPr>
      <t xml:space="preserve"> formas de pago alternativas</t>
    </r>
    <r>
      <rPr>
        <sz val="10"/>
        <color theme="1"/>
        <rFont val="Aptos Narrow"/>
        <family val="2"/>
        <scheme val="minor"/>
      </rPr>
      <t>.</t>
    </r>
  </si>
  <si>
    <r>
      <t xml:space="preserve">Demuestra que te </t>
    </r>
    <r>
      <rPr>
        <b/>
        <sz val="10"/>
        <color theme="1"/>
        <rFont val="Aptos Narrow"/>
        <scheme val="minor"/>
      </rPr>
      <t>preocupas</t>
    </r>
    <r>
      <rPr>
        <sz val="10"/>
        <color theme="1"/>
        <rFont val="Aptos Narrow"/>
        <family val="2"/>
        <scheme val="minor"/>
      </rPr>
      <t xml:space="preserve">, explica cómo cuidar su compra y vuelve a </t>
    </r>
    <r>
      <rPr>
        <sz val="10"/>
        <color theme="1"/>
        <rFont val="Aptos Narrow"/>
        <scheme val="minor"/>
      </rPr>
      <t>ofrecer Care Kits.</t>
    </r>
  </si>
  <si>
    <r>
      <t xml:space="preserve">Registra sus datos para el </t>
    </r>
    <r>
      <rPr>
        <b/>
        <sz val="10"/>
        <color theme="1"/>
        <rFont val="Aptos Narrow"/>
        <scheme val="minor"/>
      </rPr>
      <t>programa de lealtad</t>
    </r>
    <r>
      <rPr>
        <sz val="10"/>
        <color theme="1"/>
        <rFont val="Aptos Narrow"/>
        <family val="2"/>
        <scheme val="minor"/>
      </rPr>
      <t>.</t>
    </r>
  </si>
  <si>
    <r>
      <t xml:space="preserve">Invítalo a compartir su </t>
    </r>
    <r>
      <rPr>
        <b/>
        <sz val="10"/>
        <color theme="1"/>
        <rFont val="Aptos Narrow"/>
        <scheme val="minor"/>
      </rPr>
      <t>experiencia de compra</t>
    </r>
    <r>
      <rPr>
        <sz val="10"/>
        <color theme="1"/>
        <rFont val="Aptos Narrow"/>
        <family val="2"/>
        <scheme val="minor"/>
      </rPr>
      <t xml:space="preserve"> mediante la encuesta (NPS).</t>
    </r>
  </si>
  <si>
    <r>
      <t xml:space="preserve">Invítalo a regresar para </t>
    </r>
    <r>
      <rPr>
        <b/>
        <sz val="10"/>
        <color theme="1"/>
        <rFont val="Aptos Narrow"/>
        <scheme val="minor"/>
      </rPr>
      <t>futuras compras</t>
    </r>
    <r>
      <rPr>
        <sz val="10"/>
        <color theme="1"/>
        <rFont val="Aptos Narrow"/>
        <family val="2"/>
        <scheme val="minor"/>
      </rPr>
      <t xml:space="preserve"> y seguimiento a </t>
    </r>
    <r>
      <rPr>
        <b/>
        <sz val="10"/>
        <color theme="1"/>
        <rFont val="Aptos Narrow"/>
        <scheme val="minor"/>
      </rPr>
      <t>posibles garantías</t>
    </r>
    <r>
      <rPr>
        <sz val="10"/>
        <color theme="1"/>
        <rFont val="Aptos Narrow"/>
        <family val="2"/>
        <scheme val="minor"/>
      </rPr>
      <t>.</t>
    </r>
  </si>
  <si>
    <t>CAPTURA LOS VALORES DEL DÍA COMP</t>
  </si>
  <si>
    <t>GG5</t>
  </si>
  <si>
    <t>META SEMANAL</t>
  </si>
  <si>
    <t>SEMANAL</t>
  </si>
  <si>
    <t>CONVERSIÓN SEMANAL</t>
  </si>
  <si>
    <t>INDICADORES SEMANALES</t>
  </si>
  <si>
    <t>SEMANAL (NS)</t>
  </si>
  <si>
    <t>VALLEJO</t>
  </si>
  <si>
    <t>VIVIANA</t>
  </si>
  <si>
    <t>idalia</t>
  </si>
  <si>
    <t>Viviana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</si>
</sst>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£&quot;* #,##0.00_-;\-&quot;£&quot;* #,##0.00_-;_-&quot;£&quot;* &quot;-&quot;??_-;_-@_-"/>
    <numFmt numFmtId="165" formatCode="#,##0.0"/>
    <numFmt numFmtId="166" formatCode="0.0"/>
    <numFmt numFmtId="167" formatCode="_-* #,##0_-;\-* #,##0_-;_-* &quot;-&quot;??_-;_-@_-"/>
    <numFmt numFmtId="168" formatCode="0.0%"/>
  </numFmts>
  <fonts count="3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b/>
      <u/>
      <sz val="2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u/>
      <sz val="24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b/>
      <sz val="9"/>
      <color theme="1"/>
      <name val="Aptos Narrow"/>
      <scheme val="minor"/>
    </font>
    <font>
      <sz val="10"/>
      <color theme="1"/>
      <name val="Aptos Narrow"/>
      <scheme val="minor"/>
    </font>
    <font>
      <sz val="1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32">
    <xf numFmtId="0" fontId="0" fillId="0" borderId="0" xfId="0"/>
    <xf numFmtId="0" fontId="4" fillId="0" borderId="0" xfId="0" applyFont="1" applyAlignment="1">
      <alignment horizontal="center" vertical="center"/>
    </xf>
    <xf numFmtId="0" fontId="0" fillId="4" borderId="0" xfId="0" applyFill="1"/>
    <xf numFmtId="0" fontId="11" fillId="3" borderId="35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0" fontId="11" fillId="3" borderId="74" xfId="0" applyFont="1" applyFill="1" applyBorder="1" applyAlignment="1">
      <alignment horizontal="center" vertical="center" wrapText="1"/>
    </xf>
    <xf numFmtId="3" fontId="2" fillId="0" borderId="49" xfId="2" applyNumberFormat="1" applyFont="1" applyFill="1" applyBorder="1" applyAlignment="1" applyProtection="1">
      <alignment horizontal="center" vertical="center"/>
      <protection locked="0"/>
    </xf>
    <xf numFmtId="0" fontId="11" fillId="3" borderId="14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7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0" xfId="0" applyFont="1"/>
    <xf numFmtId="0" fontId="20" fillId="0" borderId="0" xfId="0" applyFont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" fontId="18" fillId="4" borderId="0" xfId="2" applyNumberFormat="1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3" fontId="18" fillId="4" borderId="0" xfId="2" applyNumberFormat="1" applyFont="1" applyFill="1" applyBorder="1" applyAlignment="1">
      <alignment horizontal="center" vertical="center"/>
    </xf>
    <xf numFmtId="3" fontId="20" fillId="4" borderId="0" xfId="0" applyNumberFormat="1" applyFont="1" applyFill="1" applyAlignment="1">
      <alignment horizontal="center" vertical="center"/>
    </xf>
    <xf numFmtId="0" fontId="18" fillId="4" borderId="0" xfId="0" applyFont="1" applyFill="1" applyAlignment="1" applyProtection="1">
      <alignment vertical="center"/>
      <protection locked="0"/>
    </xf>
    <xf numFmtId="0" fontId="18" fillId="4" borderId="0" xfId="0" applyFont="1" applyFill="1" applyAlignment="1" applyProtection="1">
      <alignment horizontal="center" vertical="center"/>
      <protection locked="0"/>
    </xf>
    <xf numFmtId="0" fontId="18" fillId="4" borderId="0" xfId="0" applyFont="1" applyFill="1"/>
    <xf numFmtId="0" fontId="9" fillId="0" borderId="48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1" fillId="3" borderId="79" xfId="0" applyFont="1" applyFill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18" fillId="4" borderId="1" xfId="0" applyFont="1" applyFill="1" applyBorder="1"/>
    <xf numFmtId="0" fontId="14" fillId="4" borderId="16" xfId="0" applyFont="1" applyFill="1" applyBorder="1" applyAlignment="1">
      <alignment horizontal="right" vertical="center"/>
    </xf>
    <xf numFmtId="0" fontId="19" fillId="4" borderId="16" xfId="0" applyFont="1" applyFill="1" applyBorder="1" applyAlignment="1" applyProtection="1">
      <alignment horizontal="left" vertical="center"/>
      <protection locked="0"/>
    </xf>
    <xf numFmtId="0" fontId="16" fillId="4" borderId="16" xfId="0" applyFont="1" applyFill="1" applyBorder="1" applyAlignment="1">
      <alignment horizontal="right" vertical="center"/>
    </xf>
    <xf numFmtId="0" fontId="19" fillId="4" borderId="16" xfId="0" applyFont="1" applyFill="1" applyBorder="1" applyAlignment="1" applyProtection="1">
      <alignment vertical="center"/>
      <protection locked="0"/>
    </xf>
    <xf numFmtId="0" fontId="16" fillId="4" borderId="16" xfId="0" applyFont="1" applyFill="1" applyBorder="1" applyAlignment="1">
      <alignment vertical="center" wrapText="1"/>
    </xf>
    <xf numFmtId="0" fontId="23" fillId="4" borderId="14" xfId="0" applyFont="1" applyFill="1" applyBorder="1" applyAlignment="1">
      <alignment horizontal="center" vertical="center" wrapText="1"/>
    </xf>
    <xf numFmtId="0" fontId="23" fillId="4" borderId="47" xfId="0" applyFont="1" applyFill="1" applyBorder="1" applyAlignment="1">
      <alignment horizontal="center" vertical="center" wrapText="1"/>
    </xf>
    <xf numFmtId="0" fontId="23" fillId="4" borderId="46" xfId="0" applyFont="1" applyFill="1" applyBorder="1" applyAlignment="1">
      <alignment horizontal="center" vertical="center" wrapText="1"/>
    </xf>
    <xf numFmtId="3" fontId="2" fillId="2" borderId="44" xfId="0" applyNumberFormat="1" applyFont="1" applyFill="1" applyBorder="1" applyAlignment="1">
      <alignment horizontal="center" vertical="center"/>
    </xf>
    <xf numFmtId="3" fontId="2" fillId="2" borderId="43" xfId="0" applyNumberFormat="1" applyFont="1" applyFill="1" applyBorder="1" applyAlignment="1">
      <alignment horizontal="center" vertical="center"/>
    </xf>
    <xf numFmtId="166" fontId="2" fillId="2" borderId="42" xfId="0" applyNumberFormat="1" applyFont="1" applyFill="1" applyBorder="1" applyAlignment="1">
      <alignment horizontal="center" vertical="center"/>
    </xf>
    <xf numFmtId="0" fontId="23" fillId="4" borderId="4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wrapText="1"/>
    </xf>
    <xf numFmtId="0" fontId="28" fillId="4" borderId="0" xfId="0" applyFont="1" applyFill="1" applyAlignment="1">
      <alignment horizontal="left"/>
    </xf>
    <xf numFmtId="0" fontId="23" fillId="4" borderId="0" xfId="0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0" fontId="29" fillId="4" borderId="0" xfId="0" applyFont="1" applyFill="1" applyAlignment="1">
      <alignment horizontal="left" vertical="center" wrapText="1"/>
    </xf>
    <xf numFmtId="0" fontId="30" fillId="4" borderId="0" xfId="0" applyFont="1" applyFill="1" applyAlignment="1">
      <alignment horizontal="left" vertical="center" wrapText="1"/>
    </xf>
    <xf numFmtId="0" fontId="7" fillId="2" borderId="77" xfId="0" applyFont="1" applyFill="1" applyBorder="1" applyAlignment="1">
      <alignment horizontal="center" vertical="center" wrapText="1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47" xfId="0" applyFont="1" applyBorder="1" applyAlignment="1" applyProtection="1">
      <alignment horizontal="center" vertical="center"/>
      <protection locked="0"/>
    </xf>
    <xf numFmtId="3" fontId="5" fillId="0" borderId="49" xfId="2" applyNumberFormat="1" applyFont="1" applyFill="1" applyBorder="1" applyAlignment="1" applyProtection="1">
      <alignment horizontal="center" vertical="center"/>
      <protection locked="0"/>
    </xf>
    <xf numFmtId="3" fontId="5" fillId="2" borderId="60" xfId="2" applyNumberFormat="1" applyFont="1" applyFill="1" applyBorder="1" applyAlignment="1">
      <alignment horizontal="center" vertical="center"/>
    </xf>
    <xf numFmtId="3" fontId="5" fillId="2" borderId="26" xfId="2" applyNumberFormat="1" applyFont="1" applyFill="1" applyBorder="1" applyAlignment="1">
      <alignment horizontal="center" vertical="center"/>
    </xf>
    <xf numFmtId="3" fontId="5" fillId="2" borderId="25" xfId="2" applyNumberFormat="1" applyFont="1" applyFill="1" applyBorder="1" applyAlignment="1">
      <alignment horizontal="center" vertical="center"/>
    </xf>
    <xf numFmtId="3" fontId="5" fillId="2" borderId="75" xfId="2" applyNumberFormat="1" applyFont="1" applyFill="1" applyBorder="1" applyAlignment="1">
      <alignment horizontal="center" vertical="center"/>
    </xf>
    <xf numFmtId="3" fontId="5" fillId="2" borderId="61" xfId="2" applyNumberFormat="1" applyFont="1" applyFill="1" applyBorder="1" applyAlignment="1">
      <alignment horizontal="center" vertical="center"/>
    </xf>
    <xf numFmtId="3" fontId="5" fillId="2" borderId="7" xfId="2" applyNumberFormat="1" applyFont="1" applyFill="1" applyBorder="1" applyAlignment="1">
      <alignment horizontal="center" vertical="center"/>
    </xf>
    <xf numFmtId="3" fontId="5" fillId="2" borderId="22" xfId="2" applyNumberFormat="1" applyFont="1" applyFill="1" applyBorder="1" applyAlignment="1">
      <alignment horizontal="center" vertical="center"/>
    </xf>
    <xf numFmtId="3" fontId="5" fillId="2" borderId="76" xfId="2" applyNumberFormat="1" applyFont="1" applyFill="1" applyBorder="1" applyAlignment="1">
      <alignment horizontal="center" vertical="center"/>
    </xf>
    <xf numFmtId="3" fontId="31" fillId="2" borderId="17" xfId="2" applyNumberFormat="1" applyFont="1" applyFill="1" applyBorder="1" applyAlignment="1">
      <alignment horizontal="center" vertical="center"/>
    </xf>
    <xf numFmtId="3" fontId="31" fillId="2" borderId="19" xfId="0" applyNumberFormat="1" applyFont="1" applyFill="1" applyBorder="1" applyAlignment="1">
      <alignment horizontal="center" vertical="center"/>
    </xf>
    <xf numFmtId="3" fontId="31" fillId="2" borderId="18" xfId="0" applyNumberFormat="1" applyFont="1" applyFill="1" applyBorder="1" applyAlignment="1">
      <alignment horizontal="center" vertical="center"/>
    </xf>
    <xf numFmtId="3" fontId="31" fillId="2" borderId="73" xfId="0" applyNumberFormat="1" applyFont="1" applyFill="1" applyBorder="1" applyAlignment="1">
      <alignment horizontal="center" vertical="center"/>
    </xf>
    <xf numFmtId="3" fontId="31" fillId="2" borderId="64" xfId="2" applyNumberFormat="1" applyFont="1" applyFill="1" applyBorder="1" applyAlignment="1">
      <alignment horizontal="center" vertical="center"/>
    </xf>
    <xf numFmtId="3" fontId="5" fillId="0" borderId="47" xfId="0" applyNumberFormat="1" applyFont="1" applyBorder="1" applyAlignment="1" applyProtection="1">
      <alignment horizontal="center" vertical="center"/>
      <protection locked="0"/>
    </xf>
    <xf numFmtId="0" fontId="31" fillId="2" borderId="57" xfId="0" applyFont="1" applyFill="1" applyBorder="1" applyAlignment="1">
      <alignment horizontal="center" vertical="center"/>
    </xf>
    <xf numFmtId="9" fontId="31" fillId="2" borderId="58" xfId="2" applyFont="1" applyFill="1" applyBorder="1" applyAlignment="1">
      <alignment horizontal="center" vertical="center"/>
    </xf>
    <xf numFmtId="9" fontId="31" fillId="2" borderId="11" xfId="2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3" fontId="5" fillId="2" borderId="34" xfId="0" applyNumberFormat="1" applyFont="1" applyFill="1" applyBorder="1" applyAlignment="1">
      <alignment horizontal="center" vertical="center"/>
    </xf>
    <xf numFmtId="3" fontId="5" fillId="2" borderId="59" xfId="0" applyNumberFormat="1" applyFont="1" applyFill="1" applyBorder="1" applyAlignment="1">
      <alignment horizontal="center" vertical="center"/>
    </xf>
    <xf numFmtId="3" fontId="31" fillId="2" borderId="33" xfId="0" applyNumberFormat="1" applyFont="1" applyFill="1" applyBorder="1" applyAlignment="1">
      <alignment horizontal="center" vertical="center"/>
    </xf>
    <xf numFmtId="3" fontId="5" fillId="4" borderId="46" xfId="1" applyNumberFormat="1" applyFont="1" applyFill="1" applyBorder="1" applyAlignment="1" applyProtection="1">
      <alignment horizontal="center" vertical="center"/>
      <protection locked="0"/>
    </xf>
    <xf numFmtId="1" fontId="5" fillId="2" borderId="4" xfId="2" applyNumberFormat="1" applyFont="1" applyFill="1" applyBorder="1" applyAlignment="1">
      <alignment horizontal="center" vertical="center"/>
    </xf>
    <xf numFmtId="3" fontId="5" fillId="2" borderId="37" xfId="1" applyNumberFormat="1" applyFont="1" applyFill="1" applyBorder="1" applyAlignment="1">
      <alignment horizontal="center" vertical="center"/>
    </xf>
    <xf numFmtId="3" fontId="5" fillId="0" borderId="31" xfId="1" applyNumberFormat="1" applyFont="1" applyFill="1" applyBorder="1" applyAlignment="1" applyProtection="1">
      <alignment horizontal="center" vertical="center"/>
      <protection locked="0"/>
    </xf>
    <xf numFmtId="9" fontId="31" fillId="0" borderId="4" xfId="2" applyFont="1" applyFill="1" applyBorder="1" applyAlignment="1" applyProtection="1">
      <alignment horizontal="center" vertical="center"/>
      <protection locked="0"/>
    </xf>
    <xf numFmtId="3" fontId="5" fillId="2" borderId="29" xfId="1" applyNumberFormat="1" applyFont="1" applyFill="1" applyBorder="1" applyAlignment="1">
      <alignment horizontal="center" vertical="center"/>
    </xf>
    <xf numFmtId="9" fontId="31" fillId="2" borderId="24" xfId="2" applyFont="1" applyFill="1" applyBorder="1" applyAlignment="1" applyProtection="1">
      <alignment horizontal="center" vertical="center"/>
    </xf>
    <xf numFmtId="3" fontId="5" fillId="2" borderId="4" xfId="1" applyNumberFormat="1" applyFont="1" applyFill="1" applyBorder="1" applyAlignment="1">
      <alignment horizontal="center" vertical="center"/>
    </xf>
    <xf numFmtId="9" fontId="31" fillId="2" borderId="21" xfId="2" applyFont="1" applyFill="1" applyBorder="1" applyAlignment="1" applyProtection="1">
      <alignment horizontal="center" vertical="center"/>
    </xf>
    <xf numFmtId="9" fontId="31" fillId="2" borderId="71" xfId="2" applyFont="1" applyFill="1" applyBorder="1" applyAlignment="1" applyProtection="1">
      <alignment horizontal="center" vertical="center"/>
    </xf>
    <xf numFmtId="3" fontId="5" fillId="2" borderId="72" xfId="1" applyNumberFormat="1" applyFont="1" applyFill="1" applyBorder="1" applyAlignment="1">
      <alignment horizontal="center" vertical="center"/>
    </xf>
    <xf numFmtId="3" fontId="5" fillId="2" borderId="24" xfId="1" applyNumberFormat="1" applyFont="1" applyFill="1" applyBorder="1" applyAlignment="1">
      <alignment horizontal="center" vertical="center"/>
    </xf>
    <xf numFmtId="165" fontId="5" fillId="2" borderId="33" xfId="0" applyNumberFormat="1" applyFont="1" applyFill="1" applyBorder="1" applyAlignment="1">
      <alignment horizontal="center" vertical="center"/>
    </xf>
    <xf numFmtId="3" fontId="5" fillId="4" borderId="24" xfId="1" applyNumberFormat="1" applyFont="1" applyFill="1" applyBorder="1" applyAlignment="1" applyProtection="1">
      <alignment horizontal="center" vertical="center"/>
      <protection locked="0"/>
    </xf>
    <xf numFmtId="167" fontId="5" fillId="0" borderId="38" xfId="3" applyNumberFormat="1" applyFont="1" applyBorder="1" applyAlignment="1" applyProtection="1">
      <alignment horizontal="center" vertical="center"/>
      <protection locked="0"/>
    </xf>
    <xf numFmtId="167" fontId="5" fillId="0" borderId="37" xfId="3" applyNumberFormat="1" applyFont="1" applyBorder="1" applyAlignment="1" applyProtection="1">
      <alignment horizontal="center" vertical="center"/>
      <protection locked="0"/>
    </xf>
    <xf numFmtId="167" fontId="5" fillId="2" borderId="4" xfId="3" applyNumberFormat="1" applyFont="1" applyFill="1" applyBorder="1" applyAlignment="1">
      <alignment horizontal="left" vertical="center"/>
    </xf>
    <xf numFmtId="0" fontId="5" fillId="0" borderId="47" xfId="0" applyFont="1" applyBorder="1" applyAlignment="1" applyProtection="1">
      <alignment horizontal="center" vertical="center" wrapText="1"/>
      <protection locked="0"/>
    </xf>
    <xf numFmtId="0" fontId="5" fillId="0" borderId="46" xfId="0" applyFont="1" applyBorder="1" applyAlignment="1" applyProtection="1">
      <alignment horizontal="center" vertical="center" wrapText="1"/>
      <protection locked="0"/>
    </xf>
    <xf numFmtId="3" fontId="5" fillId="2" borderId="8" xfId="2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49" xfId="0" applyFont="1" applyBorder="1" applyAlignment="1" applyProtection="1">
      <alignment horizontal="center" vertical="center" wrapText="1"/>
      <protection locked="0"/>
    </xf>
    <xf numFmtId="3" fontId="31" fillId="2" borderId="44" xfId="2" applyNumberFormat="1" applyFont="1" applyFill="1" applyBorder="1" applyAlignment="1">
      <alignment horizontal="center" vertical="center"/>
    </xf>
    <xf numFmtId="0" fontId="5" fillId="4" borderId="42" xfId="0" applyFont="1" applyFill="1" applyBorder="1" applyAlignment="1" applyProtection="1">
      <alignment vertical="center"/>
      <protection locked="0"/>
    </xf>
    <xf numFmtId="0" fontId="5" fillId="0" borderId="0" xfId="0" applyFont="1" applyAlignment="1">
      <alignment horizontal="center" vertical="center"/>
    </xf>
    <xf numFmtId="14" fontId="33" fillId="0" borderId="0" xfId="0" applyNumberFormat="1" applyFont="1" applyAlignment="1" applyProtection="1">
      <alignment horizontal="center" vertical="center"/>
      <protection locked="0"/>
    </xf>
    <xf numFmtId="0" fontId="22" fillId="0" borderId="0" xfId="0" applyFont="1" applyAlignment="1">
      <alignment horizontal="left" vertical="center" wrapText="1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0" borderId="83" xfId="0" applyFont="1" applyBorder="1" applyAlignment="1" applyProtection="1">
      <alignment horizontal="center" vertical="center" wrapText="1"/>
      <protection locked="0"/>
    </xf>
    <xf numFmtId="9" fontId="5" fillId="2" borderId="6" xfId="2" applyFont="1" applyFill="1" applyBorder="1" applyAlignment="1" applyProtection="1">
      <alignment horizontal="center" vertical="center" wrapText="1"/>
      <protection locked="0"/>
    </xf>
    <xf numFmtId="3" fontId="5" fillId="4" borderId="26" xfId="2" applyNumberFormat="1" applyFont="1" applyFill="1" applyBorder="1" applyAlignment="1">
      <alignment horizontal="center" vertical="center"/>
    </xf>
    <xf numFmtId="3" fontId="5" fillId="4" borderId="7" xfId="2" applyNumberFormat="1" applyFont="1" applyFill="1" applyBorder="1" applyAlignment="1">
      <alignment horizontal="center" vertical="center"/>
    </xf>
    <xf numFmtId="168" fontId="5" fillId="2" borderId="44" xfId="2" applyNumberFormat="1" applyFont="1" applyFill="1" applyBorder="1" applyAlignment="1" applyProtection="1">
      <alignment vertical="center"/>
      <protection locked="0"/>
    </xf>
    <xf numFmtId="168" fontId="5" fillId="2" borderId="43" xfId="0" applyNumberFormat="1" applyFont="1" applyFill="1" applyBorder="1" applyAlignment="1" applyProtection="1">
      <alignment vertical="center"/>
      <protection locked="0"/>
    </xf>
    <xf numFmtId="168" fontId="5" fillId="4" borderId="43" xfId="2" applyNumberFormat="1" applyFont="1" applyFill="1" applyBorder="1" applyAlignment="1" applyProtection="1">
      <alignment vertical="center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83" xfId="0" applyFont="1" applyFill="1" applyBorder="1" applyAlignment="1" applyProtection="1">
      <alignment horizontal="center" vertical="center" wrapText="1"/>
      <protection locked="0"/>
    </xf>
    <xf numFmtId="0" fontId="5" fillId="2" borderId="49" xfId="0" applyFont="1" applyFill="1" applyBorder="1" applyAlignment="1" applyProtection="1">
      <alignment horizontal="center" vertical="center" wrapText="1"/>
      <protection locked="0"/>
    </xf>
    <xf numFmtId="168" fontId="5" fillId="2" borderId="43" xfId="2" applyNumberFormat="1" applyFont="1" applyFill="1" applyBorder="1" applyAlignment="1" applyProtection="1">
      <alignment vertical="center"/>
      <protection locked="0"/>
    </xf>
    <xf numFmtId="165" fontId="5" fillId="0" borderId="46" xfId="2" applyNumberFormat="1" applyFont="1" applyFill="1" applyBorder="1" applyAlignment="1" applyProtection="1">
      <alignment horizontal="center" vertical="center"/>
      <protection locked="0"/>
    </xf>
    <xf numFmtId="165" fontId="5" fillId="2" borderId="12" xfId="2" applyNumberFormat="1" applyFont="1" applyFill="1" applyBorder="1" applyAlignment="1">
      <alignment horizontal="center" vertical="center" wrapText="1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3" fontId="5" fillId="2" borderId="46" xfId="1" applyNumberFormat="1" applyFont="1" applyFill="1" applyBorder="1" applyAlignment="1" applyProtection="1">
      <alignment horizontal="center" vertical="center"/>
      <protection locked="0"/>
    </xf>
    <xf numFmtId="3" fontId="5" fillId="2" borderId="31" xfId="1" applyNumberFormat="1" applyFont="1" applyFill="1" applyBorder="1" applyAlignment="1" applyProtection="1">
      <alignment horizontal="center" vertical="center"/>
      <protection locked="0"/>
    </xf>
    <xf numFmtId="0" fontId="16" fillId="0" borderId="40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6" fillId="3" borderId="78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5" fillId="0" borderId="82" xfId="0" applyFont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5" fillId="0" borderId="69" xfId="0" applyFont="1" applyBorder="1" applyAlignment="1" applyProtection="1">
      <alignment horizontal="center" vertical="center" wrapText="1"/>
      <protection locked="0"/>
    </xf>
    <xf numFmtId="0" fontId="5" fillId="0" borderId="81" xfId="0" applyFont="1" applyBorder="1" applyAlignment="1" applyProtection="1">
      <alignment horizontal="center" vertical="center" wrapText="1"/>
      <protection locked="0"/>
    </xf>
    <xf numFmtId="0" fontId="31" fillId="2" borderId="3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 wrapText="1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47" xfId="0" applyFont="1" applyBorder="1" applyAlignment="1" applyProtection="1">
      <alignment horizontal="center" vertical="center"/>
      <protection locked="0"/>
    </xf>
    <xf numFmtId="0" fontId="5" fillId="0" borderId="48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left" vertical="center" wrapText="1"/>
    </xf>
    <xf numFmtId="0" fontId="2" fillId="0" borderId="48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9" fontId="18" fillId="4" borderId="80" xfId="2" applyFont="1" applyFill="1" applyBorder="1" applyAlignment="1" applyProtection="1">
      <alignment horizontal="center" vertical="center" wrapText="1"/>
    </xf>
    <xf numFmtId="9" fontId="28" fillId="4" borderId="80" xfId="2" applyFont="1" applyFill="1" applyBorder="1" applyAlignment="1" applyProtection="1">
      <alignment horizontal="center" vertical="center" wrapText="1"/>
    </xf>
    <xf numFmtId="0" fontId="31" fillId="2" borderId="62" xfId="0" applyFont="1" applyFill="1" applyBorder="1" applyAlignment="1">
      <alignment horizontal="center" vertical="center"/>
    </xf>
    <xf numFmtId="0" fontId="31" fillId="2" borderId="63" xfId="0" applyFont="1" applyFill="1" applyBorder="1" applyAlignment="1">
      <alignment horizontal="center" vertical="center"/>
    </xf>
    <xf numFmtId="0" fontId="5" fillId="2" borderId="22" xfId="0" applyFont="1" applyFill="1" applyBorder="1" applyAlignment="1" applyProtection="1">
      <alignment horizontal="center" vertical="center" wrapText="1"/>
      <protection locked="0"/>
    </xf>
    <xf numFmtId="0" fontId="5" fillId="2" borderId="82" xfId="0" applyFont="1" applyFill="1" applyBorder="1" applyAlignment="1" applyProtection="1">
      <alignment horizontal="center" vertical="center" wrapText="1"/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8" fillId="4" borderId="0" xfId="0" applyFont="1" applyFill="1" applyAlignment="1">
      <alignment horizontal="left" vertical="center" wrapText="1"/>
    </xf>
    <xf numFmtId="0" fontId="28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36" fillId="4" borderId="0" xfId="0" applyFont="1" applyFill="1" applyAlignment="1">
      <alignment horizontal="left" vertical="center" wrapText="1"/>
    </xf>
    <xf numFmtId="0" fontId="29" fillId="4" borderId="0" xfId="0" applyFont="1" applyFill="1" applyAlignment="1">
      <alignment horizontal="left" vertical="center" wrapText="1"/>
    </xf>
    <xf numFmtId="0" fontId="30" fillId="4" borderId="0" xfId="0" applyFont="1" applyFill="1" applyAlignment="1">
      <alignment horizontal="left" vertical="center" wrapText="1"/>
    </xf>
    <xf numFmtId="0" fontId="4" fillId="4" borderId="45" xfId="0" applyFont="1" applyFill="1" applyBorder="1" applyAlignment="1">
      <alignment horizontal="center" vertical="center" wrapText="1"/>
    </xf>
    <xf numFmtId="0" fontId="23" fillId="4" borderId="45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top"/>
    </xf>
    <xf numFmtId="0" fontId="1" fillId="4" borderId="16" xfId="0" applyFont="1" applyFill="1" applyBorder="1" applyAlignment="1">
      <alignment horizontal="left" vertical="top"/>
    </xf>
    <xf numFmtId="0" fontId="1" fillId="4" borderId="15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4" borderId="16" xfId="0" applyFont="1" applyFill="1" applyBorder="1" applyAlignment="1">
      <alignment horizontal="left" vertical="top"/>
    </xf>
    <xf numFmtId="0" fontId="2" fillId="4" borderId="15" xfId="0" applyFont="1" applyFill="1" applyBorder="1" applyAlignment="1">
      <alignment horizontal="left" vertical="top"/>
    </xf>
    <xf numFmtId="0" fontId="28" fillId="4" borderId="45" xfId="0" applyFont="1" applyFill="1" applyBorder="1" applyAlignment="1">
      <alignment horizontal="left" wrapText="1"/>
    </xf>
    <xf numFmtId="0" fontId="28" fillId="4" borderId="45" xfId="0" applyFont="1" applyFill="1" applyBorder="1" applyAlignment="1">
      <alignment horizontal="left"/>
    </xf>
    <xf numFmtId="0" fontId="28" fillId="4" borderId="0" xfId="0" applyFont="1" applyFill="1" applyAlignment="1">
      <alignment horizontal="left" wrapText="1"/>
    </xf>
    <xf numFmtId="0" fontId="28" fillId="4" borderId="0" xfId="0" applyFont="1" applyFill="1" applyAlignment="1">
      <alignment horizontal="left"/>
    </xf>
    <xf numFmtId="0" fontId="28" fillId="4" borderId="0" xfId="0" applyFont="1" applyFill="1" applyAlignment="1">
      <alignment horizontal="left" vertical="top" wrapText="1"/>
    </xf>
    <xf numFmtId="0" fontId="28" fillId="4" borderId="0" xfId="0" applyFont="1" applyFill="1" applyAlignment="1">
      <alignment horizontal="left" vertical="top"/>
    </xf>
    <xf numFmtId="0" fontId="18" fillId="4" borderId="0" xfId="0" applyFont="1" applyFill="1" applyAlignment="1">
      <alignment horizontal="left" vertical="top" wrapText="1"/>
    </xf>
    <xf numFmtId="0" fontId="18" fillId="4" borderId="45" xfId="0" applyFont="1" applyFill="1" applyBorder="1" applyAlignment="1">
      <alignment horizontal="left" vertical="top" wrapText="1"/>
    </xf>
    <xf numFmtId="0" fontId="28" fillId="4" borderId="45" xfId="0" applyFont="1" applyFill="1" applyBorder="1" applyAlignment="1">
      <alignment horizontal="left" vertical="top"/>
    </xf>
    <xf numFmtId="0" fontId="15" fillId="4" borderId="36" xfId="0" applyFont="1" applyFill="1" applyBorder="1" applyAlignment="1">
      <alignment horizontal="center" vertical="center"/>
    </xf>
    <xf numFmtId="0" fontId="26" fillId="4" borderId="45" xfId="0" applyFont="1" applyFill="1" applyBorder="1" applyAlignment="1">
      <alignment horizontal="center" vertical="center"/>
    </xf>
    <xf numFmtId="0" fontId="26" fillId="4" borderId="35" xfId="0" applyFont="1" applyFill="1" applyBorder="1" applyAlignment="1">
      <alignment horizontal="center" vertical="center"/>
    </xf>
    <xf numFmtId="0" fontId="26" fillId="4" borderId="41" xfId="0" applyFont="1" applyFill="1" applyBorder="1" applyAlignment="1">
      <alignment horizontal="center" vertical="center"/>
    </xf>
    <xf numFmtId="0" fontId="26" fillId="4" borderId="40" xfId="0" applyFont="1" applyFill="1" applyBorder="1" applyAlignment="1">
      <alignment horizontal="center" vertical="center"/>
    </xf>
    <xf numFmtId="0" fontId="26" fillId="4" borderId="39" xfId="0" applyFont="1" applyFill="1" applyBorder="1" applyAlignment="1">
      <alignment horizontal="center" vertical="center"/>
    </xf>
    <xf numFmtId="0" fontId="26" fillId="4" borderId="36" xfId="0" applyFont="1" applyFill="1" applyBorder="1" applyAlignment="1">
      <alignment horizontal="center" vertical="center"/>
    </xf>
    <xf numFmtId="0" fontId="27" fillId="4" borderId="45" xfId="0" applyFont="1" applyFill="1" applyBorder="1" applyAlignment="1">
      <alignment horizontal="left" vertical="center" wrapText="1"/>
    </xf>
    <xf numFmtId="0" fontId="28" fillId="4" borderId="45" xfId="0" applyFont="1" applyFill="1" applyBorder="1" applyAlignment="1">
      <alignment horizontal="left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24" fillId="4" borderId="36" xfId="0" applyFont="1" applyFill="1" applyBorder="1" applyAlignment="1">
      <alignment horizontal="center" vertical="top"/>
    </xf>
    <xf numFmtId="0" fontId="25" fillId="4" borderId="45" xfId="0" applyFont="1" applyFill="1" applyBorder="1" applyAlignment="1">
      <alignment horizontal="center" vertical="top"/>
    </xf>
    <xf numFmtId="0" fontId="25" fillId="4" borderId="35" xfId="0" applyFont="1" applyFill="1" applyBorder="1" applyAlignment="1">
      <alignment horizontal="center" vertical="top"/>
    </xf>
    <xf numFmtId="0" fontId="25" fillId="4" borderId="41" xfId="0" applyFont="1" applyFill="1" applyBorder="1" applyAlignment="1">
      <alignment horizontal="center" vertical="top"/>
    </xf>
    <xf numFmtId="0" fontId="25" fillId="4" borderId="40" xfId="0" applyFont="1" applyFill="1" applyBorder="1" applyAlignment="1">
      <alignment horizontal="center" vertical="top"/>
    </xf>
    <xf numFmtId="0" fontId="25" fillId="4" borderId="39" xfId="0" applyFont="1" applyFill="1" applyBorder="1" applyAlignment="1">
      <alignment horizontal="center" vertical="top"/>
    </xf>
    <xf numFmtId="0" fontId="37" fillId="3" borderId="0" xfId="0" applyFont="1" applyFill="1" applyAlignment="1">
      <alignment horizontal="center" vertical="center"/>
    </xf>
    <xf numFmtId="0" fontId="37" fillId="3" borderId="40" xfId="0" applyFont="1" applyFill="1" applyBorder="1" applyAlignment="1">
      <alignment horizontal="center" vertical="center"/>
    </xf>
    <xf numFmtId="0" fontId="37" fillId="3" borderId="0" xfId="0" applyFont="1" applyFill="1" applyAlignment="1">
      <alignment horizontal="center" vertical="center" wrapText="1"/>
    </xf>
    <xf numFmtId="0" fontId="37" fillId="3" borderId="40" xfId="0" applyFont="1" applyFill="1" applyBorder="1" applyAlignment="1">
      <alignment horizontal="center" vertical="center" wrapText="1"/>
    </xf>
    <xf numFmtId="14" fontId="16" fillId="4" borderId="16" xfId="0" applyNumberFormat="1" applyFont="1" applyFill="1" applyBorder="1" applyAlignment="1">
      <alignment horizontal="right" vertic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4460B033-1BDE-451B-9E4E-9A9AAD70F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E028415C-D0CF-092E-BCD7-9C8F2A6CE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163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9" name="Imagen 8" descr="Meta Imágenes transparentes PNG, imágenes, fotos">
          <a:extLst>
            <a:ext uri="{FF2B5EF4-FFF2-40B4-BE49-F238E27FC236}">
              <a16:creationId xmlns:a16="http://schemas.microsoft.com/office/drawing/2014/main" id="{0C6C0C0C-4D4E-2E68-4F9D-C1948DD9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4427" y="20760"/>
          <a:ext cx="15305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2051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85E76457-AFA4-65F2-34CD-5890B7CD27CA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2052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72898ACD-FF96-9FF2-7C8E-2C3BC3256BDB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2053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5CBD08FB-821A-A335-9AB5-B3E6515B231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2054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2BF1BB8F-31F0-8604-2905-55E1636A6FC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2055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88F3610F-C121-2D1C-C25B-E1FD768E4E4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2056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0D68E6ED-4835-EDFB-17E0-E8553723C68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2057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2F587C15-C100-B5BE-6CAF-46A42BDEFA5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2058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671124B6-4666-EB88-9F34-9C6768079C2A}"/>
            </a:ext>
          </a:extLst>
        </xdr:cNvPr>
        <xdr:cNvSpPr>
          <a:spLocks noChangeAspect="1" noChangeArrowheads="1"/>
        </xdr:cNvSpPr>
      </xdr:nvSpPr>
      <xdr:spPr bwMode="auto">
        <a:xfrm>
          <a:off x="88265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2059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B2B143CA-7F2A-EF93-188F-741368748EA1}"/>
            </a:ext>
          </a:extLst>
        </xdr:cNvPr>
        <xdr:cNvSpPr>
          <a:spLocks noChangeAspect="1" noChangeArrowheads="1"/>
        </xdr:cNvSpPr>
      </xdr:nvSpPr>
      <xdr:spPr bwMode="auto">
        <a:xfrm>
          <a:off x="17462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0" name="Imagen 9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F8F7EE7F-D0DB-7B04-96E9-3EE24AFDFC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5038" y="3296293"/>
          <a:ext cx="3318446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1" name="Imagen 10" descr="Verde Reloj Tiempo - Imagen gratis en Pixabay">
          <a:extLst>
            <a:ext uri="{FF2B5EF4-FFF2-40B4-BE49-F238E27FC236}">
              <a16:creationId xmlns:a16="http://schemas.microsoft.com/office/drawing/2014/main" id="{9DE52A71-8927-9278-0AEC-E4CE3216C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706532"/>
          <a:ext cx="1138611" cy="1130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2" name="Imagen 11" descr="Employees - Iconos gratis de negocios y finanzas">
          <a:extLst>
            <a:ext uri="{FF2B5EF4-FFF2-40B4-BE49-F238E27FC236}">
              <a16:creationId xmlns:a16="http://schemas.microsoft.com/office/drawing/2014/main" id="{B63D277C-469C-C7B7-BDEC-56120945C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8799" y="8227494"/>
          <a:ext cx="999067" cy="878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B58ACD3F-D84D-C04D-BA57-9139C201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6" name="Picture 1">
          <a:extLst>
            <a:ext uri="{FF2B5EF4-FFF2-40B4-BE49-F238E27FC236}">
              <a16:creationId xmlns:a16="http://schemas.microsoft.com/office/drawing/2014/main" id="{EFA3FB2A-2B30-2B4E-893A-D34A9A602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7" name="Picture 104">
          <a:extLst>
            <a:ext uri="{FF2B5EF4-FFF2-40B4-BE49-F238E27FC236}">
              <a16:creationId xmlns:a16="http://schemas.microsoft.com/office/drawing/2014/main" id="{D7DAE1B6-2499-9441-9B4E-B7C608109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B020705-2F59-5194-0966-CEACA8647C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626034"/>
          <a:ext cx="729213" cy="679266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9A93269-C8DF-6047-8483-1FC13E4C37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123745"/>
          <a:ext cx="713533" cy="673100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030A4F8-416B-F24E-8396-C105EB2DAD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334932"/>
          <a:ext cx="733919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77FBBAF-DBA7-77B1-9E83-02016D4172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7945569" y="5716410"/>
          <a:ext cx="790620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3E6BF07-71C3-D448-AD8E-0AE9E942F4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7929770" y="3441700"/>
          <a:ext cx="789608" cy="698500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C3873CB-7BE4-AA49-85A2-54FB0ECA4A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7949494" y="4268612"/>
          <a:ext cx="799394" cy="634999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F01472C-8336-1048-8E0C-975AEF8052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7930445" y="4980147"/>
          <a:ext cx="793730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BC793165-9A5F-E14B-8BB0-489FF30DFC37}"/>
            </a:ext>
          </a:extLst>
        </xdr:cNvPr>
        <xdr:cNvSpPr/>
      </xdr:nvSpPr>
      <xdr:spPr>
        <a:xfrm>
          <a:off x="7075505" y="3694192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2A26BD18-D4F7-8A4C-AA07-0425CE72292D}"/>
            </a:ext>
          </a:extLst>
        </xdr:cNvPr>
        <xdr:cNvSpPr/>
      </xdr:nvSpPr>
      <xdr:spPr>
        <a:xfrm>
          <a:off x="7087281" y="4310312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28DB8F5D-91CB-5045-BCAC-98D169DFA97C}"/>
            </a:ext>
          </a:extLst>
        </xdr:cNvPr>
        <xdr:cNvSpPr/>
      </xdr:nvSpPr>
      <xdr:spPr>
        <a:xfrm>
          <a:off x="7106354" y="506949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353FD27D-A71D-4E40-95C0-6DB3B11E8AD4}"/>
            </a:ext>
          </a:extLst>
        </xdr:cNvPr>
        <xdr:cNvSpPr/>
      </xdr:nvSpPr>
      <xdr:spPr>
        <a:xfrm>
          <a:off x="13905087" y="3660423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9" name="Rectangle 4">
          <a:extLst>
            <a:ext uri="{FF2B5EF4-FFF2-40B4-BE49-F238E27FC236}">
              <a16:creationId xmlns:a16="http://schemas.microsoft.com/office/drawing/2014/main" id="{F4A3B716-D304-BC46-AAAD-E4DA6C4CA9F2}"/>
            </a:ext>
          </a:extLst>
        </xdr:cNvPr>
        <xdr:cNvSpPr/>
      </xdr:nvSpPr>
      <xdr:spPr>
        <a:xfrm>
          <a:off x="13916375" y="4334934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F1033D20-1B6A-9B46-96D1-4C0E217757E6}"/>
            </a:ext>
          </a:extLst>
        </xdr:cNvPr>
        <xdr:cNvSpPr/>
      </xdr:nvSpPr>
      <xdr:spPr>
        <a:xfrm>
          <a:off x="13927663" y="5037668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21" name="Rectangle 4">
          <a:extLst>
            <a:ext uri="{FF2B5EF4-FFF2-40B4-BE49-F238E27FC236}">
              <a16:creationId xmlns:a16="http://schemas.microsoft.com/office/drawing/2014/main" id="{698431B0-A750-9944-90AA-B8259BA40270}"/>
            </a:ext>
          </a:extLst>
        </xdr:cNvPr>
        <xdr:cNvSpPr/>
      </xdr:nvSpPr>
      <xdr:spPr>
        <a:xfrm>
          <a:off x="13953063" y="5825068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D860D000-4007-225B-3A7F-036BF496586D}"/>
            </a:ext>
          </a:extLst>
        </xdr:cNvPr>
        <xdr:cNvCxnSpPr/>
      </xdr:nvCxnSpPr>
      <xdr:spPr>
        <a:xfrm flipV="1">
          <a:off x="9736667" y="2398889"/>
          <a:ext cx="3697111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BB79310-7695-CBEF-7EA5-7F5E1F413C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612586"/>
          <a:ext cx="666470" cy="589211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88E92DC0-45A8-6B4A-B710-CFE78A737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12573"/>
          <a:ext cx="666470" cy="548290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D0AA2C78-DD2C-144F-81CB-9E71A007E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868161"/>
          <a:ext cx="666470" cy="562011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53CC8D0C-DB74-DD46-A2F7-4B1435B032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459368"/>
          <a:ext cx="666470" cy="5401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A7C7FB7-9A96-334C-BE5F-5E2B16AB75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021380"/>
          <a:ext cx="666470" cy="540115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949A69FA-0424-F147-A2C2-BF8FD95CB041}"/>
            </a:ext>
          </a:extLst>
        </xdr:cNvPr>
        <xdr:cNvSpPr/>
      </xdr:nvSpPr>
      <xdr:spPr>
        <a:xfrm>
          <a:off x="7163869" y="742614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30" name="Rectangle 4">
          <a:extLst>
            <a:ext uri="{FF2B5EF4-FFF2-40B4-BE49-F238E27FC236}">
              <a16:creationId xmlns:a16="http://schemas.microsoft.com/office/drawing/2014/main" id="{C3DCEBB5-3624-3445-845C-7B1A8637C0D2}"/>
            </a:ext>
          </a:extLst>
        </xdr:cNvPr>
        <xdr:cNvSpPr/>
      </xdr:nvSpPr>
      <xdr:spPr>
        <a:xfrm>
          <a:off x="7177591" y="8031072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31" name="Rectangle 4">
          <a:extLst>
            <a:ext uri="{FF2B5EF4-FFF2-40B4-BE49-F238E27FC236}">
              <a16:creationId xmlns:a16="http://schemas.microsoft.com/office/drawing/2014/main" id="{3601A426-7CB6-D142-A7AA-41DCBA413225}"/>
            </a:ext>
          </a:extLst>
        </xdr:cNvPr>
        <xdr:cNvSpPr/>
      </xdr:nvSpPr>
      <xdr:spPr>
        <a:xfrm>
          <a:off x="7184013" y="85995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1DAD7032-9BBC-7A4F-B338-A86BEC27FE79}"/>
            </a:ext>
          </a:extLst>
        </xdr:cNvPr>
        <xdr:cNvSpPr/>
      </xdr:nvSpPr>
      <xdr:spPr>
        <a:xfrm>
          <a:off x="7190436" y="9167941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33" name="Rectangle 4">
          <a:extLst>
            <a:ext uri="{FF2B5EF4-FFF2-40B4-BE49-F238E27FC236}">
              <a16:creationId xmlns:a16="http://schemas.microsoft.com/office/drawing/2014/main" id="{40E08296-F4FE-AC41-AA45-66E0AA7C9E54}"/>
            </a:ext>
          </a:extLst>
        </xdr:cNvPr>
        <xdr:cNvSpPr/>
      </xdr:nvSpPr>
      <xdr:spPr>
        <a:xfrm>
          <a:off x="7196859" y="973637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2E1F005C-333C-BE7F-4A26-79E006EA3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72696" y="8706277"/>
          <a:ext cx="501147" cy="1041831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7FCAB3B0-0427-3AC6-414E-2A40F86BE7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863053" y="8633146"/>
          <a:ext cx="557570" cy="898990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AF441D93-345E-B445-ACD9-8A80D8D27A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872758" y="9803260"/>
          <a:ext cx="557570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F1B96D43-E162-204E-89DC-FF4D84C3D8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882462" y="12093539"/>
          <a:ext cx="557570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BCB3F178-560A-1C48-9635-AED2E194C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877896" y="10331236"/>
          <a:ext cx="557570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62A51DB3-E206-0144-8D93-A678328C4D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877895" y="10894889"/>
          <a:ext cx="557570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2D0F6E85-E955-E34F-9AF5-77BF9CEA9D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870761" y="11503916"/>
          <a:ext cx="557570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D095200A-204B-2F17-C00A-802BDC62F4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472159" y="8620875"/>
          <a:ext cx="4678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44955C2A-BE99-8E40-8DB0-16B820C85B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451379" y="9184640"/>
          <a:ext cx="477981" cy="2820026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3FF2C7D2-FDED-0172-858D-48B925A29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754100" y="15101194"/>
          <a:ext cx="2355144" cy="102780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3073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D3B0CDB1-D85B-2AD0-EF2C-D35B0D1C5EFA}"/>
            </a:ext>
          </a:extLst>
        </xdr:cNvPr>
        <xdr:cNvSpPr>
          <a:spLocks noChangeAspect="1" noChangeArrowheads="1"/>
        </xdr:cNvSpPr>
      </xdr:nvSpPr>
      <xdr:spPr bwMode="auto">
        <a:xfrm>
          <a:off x="81280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2E1F005C-333C-BE7F-4A26-79E006EA3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59420" y="9851076"/>
          <a:ext cx="501147" cy="16441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ADB0F64A-9BAF-2F48-8AEF-FF366D5DD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A7443F96-4C1B-7343-BE61-6E4256196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B510CD29-843B-D744-8301-52D2CA495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FAB9A4D0-138E-764A-BFE8-9422FB4ED69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3B4FB410-6838-EA4D-A6B9-CE471535E1E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81990316-5F82-7440-BE3B-9347CD1D5DC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3407DAD0-52C2-8647-BB49-99F98C3A9580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93D4850F-D807-DC4D-8235-AE2F04704CE7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ED322D87-E51E-6B45-8830-2B52427DB3E4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370C4F68-3359-B34A-8A65-D3B2C56DADE6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07ED599B-CE28-0747-83D2-A9869A278ABA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8A4A5DB1-A161-6B4E-A731-9E8E3CB0AFB4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ADC326B4-85C5-B64C-8ED3-8A943D8E14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1A4C963D-F6D5-C94A-9586-4B0D6C66C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8539ACD1-63F9-4D4A-9599-9843A1B2A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7606B074-7914-0349-98D4-9BD78DE8A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ED8DDE85-BB58-6846-B3E2-9D82F71D7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F7A51EBE-419B-B144-B50C-37A009BB8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D528929-0DDF-2646-8D04-3AA6D3ED5A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9B99155-3267-8149-BAA2-ABDFA69C17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7162B0B-BBEB-834C-82E4-BD41C087F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61CC0D8-DE2E-E544-BB05-618A4524D4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C45326D-D057-AA4C-A18E-9FB499C302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EFC0EE1-2266-324B-87E6-5D70129A8A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1F470E0-E452-6D4D-A020-757E9C2204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3F4D85ED-CCEA-EC40-91AD-ECD0B101A2B9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A2F56B96-9A81-A44C-954B-229C6FA01C2A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61D7A37F-B9E1-D241-80BC-441D7C24FDD0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C955EE98-8219-E340-9E6C-E50D88F7D400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E2C25961-F427-1D4F-AE83-12FD1CCEF3C4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B2168B9A-7076-8B44-A96C-5BD1E08EA94B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B75B8A27-1AB3-6A43-B7B7-937ADF5CA01E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F798986D-1B42-964A-9870-F17F08FB5266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8C9EFC7-7078-7543-8EC0-F4FCEA16D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FFE4892-144A-B547-80C9-13BE856202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5CF9BBA-88E3-4C46-9A46-5EB65A41A2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869025C-123D-4941-A8D3-E57E1A9A38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30F767D-B92C-8E4E-868A-0A37BEFEC8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B38C9AE9-5BAF-1A4D-B073-D480F0E294BD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6F31CA69-B9D0-6146-A41E-64D6CDD20D87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16E44E76-68CE-CA4F-9091-61FA500AC963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ADBDE66B-3C2A-E345-BEF5-8993296E91ED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14706142-6AAE-5941-AB66-A9DE20FD8358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FD148879-7A8D-4D44-96F0-F441E0DC18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465FEBC4-8687-8B4D-BC40-9BFD42DD25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A61B016F-A3DA-E042-B6D5-DFA78EED6D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FC26AE1-550C-384E-A33E-8F794038E5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39B247CB-356E-FD41-89C0-F29008C71C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230F85B5-B528-E748-96EA-7ECD59DD8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7C756C53-7D2A-4B49-B1F8-56AF2B61F3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DF804BEE-ECCA-E24D-A121-98703F6511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5A8B79C3-6105-7E45-9183-0289A8958B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66AD21D6-4D33-7A4F-A211-461EE330D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39D94C26-7EDD-C14A-9012-D238943BAAC7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37F7D882-1FF5-1045-B1A5-14DBB28834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C16DC340-69EB-864C-B974-E050A34F7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3BBDEBA3-8FF1-A547-A22A-7BE7312A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2A0A56CD-20A5-E742-9E15-D1AFEF27D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73345836-86B1-7548-84BC-EB5078D9B4EB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A6686672-DECC-204F-8232-449EBBBCD469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25B9ED2A-5FB2-9E48-8CF9-070EF1E7C0D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A47FBD3A-D143-2A4F-9EDB-29333D167035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655A8BB8-C5D1-E646-B709-DAC4EF3F8F4C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21921D44-9AA0-624B-A9E7-0498F2AA89F8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486D583F-C3D4-4047-A5A3-D695A0C277DA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D98F32A9-3FFC-494B-94C5-489B2B20618D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3E205305-C746-9945-A178-B403F1739653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D031642F-D3E5-7D4B-955C-3A944366B6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687E15E8-2B39-D84A-9CD5-84C57F7B3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9D7E1FC7-A587-6D43-BA90-7038FC3F5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1E9E6F9D-208D-E247-B8A1-22A4886A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3FF588B6-C5E0-B046-944A-F8E6A788E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88B557BE-341C-8549-9065-58ED6B6EE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A0386ED-026B-8440-905F-89C7912783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A4DA44B-A758-6A4C-B63B-1AA1A2FFCA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2727193-2854-8B46-82A0-EB3394E83C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19F16CD-C0C5-084A-889E-24711B5067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F3A4D66-DC9A-E84B-B51F-9AED15702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3E78163-0BE3-1645-8172-3A53F5107D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AD61133-E78A-2645-AAF8-440B898417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42B7BC9F-B0DF-3C4F-9B67-2754EFAAA807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DF7A57D2-FA03-9241-8521-621C9698EA95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26165395-9370-2D4A-8819-C420D5F3271B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CF895D2A-A0BB-5644-83A5-E7D9067EFC56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AFA617A7-E32A-BB40-ADD3-562DC1BEBBC5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2A6EF88E-31CC-1243-8E1A-22B028B70023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9E0D66DA-CEA9-B043-BB89-09AA052250FB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7AA17D62-5F97-7C44-BAAC-339433FAFD70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FC681A8-F490-6044-A502-CE84C3DEF2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39C7488-9E1D-F348-8192-331AFEBBD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A273E692-9AC3-1240-869E-07E6C709B4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EBE923C-75EE-D749-9C83-6A732A3B97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0CBE3F9-6571-4241-9601-7D04CBBD4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A666986A-E71B-B741-803C-43BE6AC7BBEC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CCA9CE90-B7FC-5D4E-976B-41B5113943E3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8BE3833E-BF3E-4942-A326-E06D325B2645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38B6EF1F-268B-E34D-92CF-AE54B6472DE5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64401744-37A9-C94D-A730-8306BF519E03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8AF6D9D3-8030-C444-A176-3FF2C17E3B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E9E92BD0-25F1-2A4B-9653-DD5800E29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17B33E0-7E3B-A245-A702-806BE411FC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F1D0D920-12C8-5F42-81F3-21BB6FDE9E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8A7E041-4AEF-4848-BB59-B5E23EE450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8E085A4F-E2C8-F24F-905C-BCA8E0CBDA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89A0F6C0-07A4-F642-AF99-887C31F1F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997587B4-EB60-F740-A7B1-0FAF6C592A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F2004AFF-8469-B648-AEA6-1A0BBE6475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E7316BB7-99AA-494D-B506-BB056A589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30BE5D82-7414-2D4D-B855-EDD72662BA4B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3AF629D-CDDB-4344-958E-B37470E3DB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8367C5E3-579D-3743-ABBB-EAAE89794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81493A1B-6736-434A-AF82-C5A44BCA9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A65B5AE0-A070-2540-BD26-ED03B5949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97D7A19A-7782-2442-80FE-EFD70BFD1DCD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171F57A8-20EE-2544-AF3B-4C712F654F0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25A9107A-3A49-2549-BA90-A0D9894B94E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CC10CAB4-9EBF-0A48-9744-7F251BAB37E6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F2D4B4D6-6E72-0144-96A7-FA54D3CBB8B2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2B420CB8-8CB7-F74C-A257-2F27509F298A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3AA96070-D022-E34E-8D1E-AB81912662A1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9E6B928D-84B1-F845-BFD8-746D466EFCAB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7DA3058D-AA55-B643-A249-D5F64A81D6C8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402C8D5C-A3F0-B34B-9E59-EAA6448F22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4C51743E-D17B-7F48-9436-E59780E7B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7F441068-FE8C-9842-A462-B981181AD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7B6D2B27-526E-2F4E-B70E-C057A2BC6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141CE2F5-362A-9047-85CE-1A019CFBB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136AFFDE-263F-4C43-BD85-3CE017BA0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86EF242-2B11-E641-8F3B-6E83747933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272BFB6-8AE6-104C-A789-84AC499C24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87D24DB-75D2-E44D-A544-3AAFABDD21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9E1C15D-540B-D942-88B2-A63E4FC5CD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8C91B01-73AE-C543-80E0-EE812CC1D3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6B16235-75BF-9248-BAE5-25994D0F62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B439689-8C4F-FB42-82E9-ABDC62F593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A85FA901-1C0A-F948-82F4-B1DB472862E5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A6CDF29C-96C0-1E44-A841-34AE0A4D20AF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D35E52AC-61F6-EE49-876F-83CC784B04EF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7CFD8C9B-72CE-694F-9814-2FE348429813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450CDD52-E69B-4741-AEC3-DC0E698E6192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572C048F-EB8B-1B4F-870F-550E633A2B9D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092DEFD-A941-1848-BFF2-0DDD6B0DABFB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246A78B4-B5E0-5E49-8D76-F2878F0B4B1F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8E2428D-01C9-7E4A-BE16-0E2952FCAF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15F4CFF-9F6C-9C42-8350-BE3B5224AF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1898567-FA7E-0442-8FD9-012D04FD2C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45525066-B2EA-BC43-A556-FC8B9EE746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EE700A0-1D7D-F946-8490-9AE5A61640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663F4281-F426-FD42-AB71-F8350AE0A7DE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352968AE-8B84-5947-8561-A076E750C859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482BA7D9-F65A-164E-9ABC-F4FFA78EEC7B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3ED37F48-1B5E-2B4E-8E43-5F545BD6E7F9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AF5F7BCD-00F1-0545-B9A9-8609E05A119F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78C4CBDE-07FD-A54E-ADA3-1990EFB690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CCAEA3A-48F0-EA45-B01C-316D999FF7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5AF9E264-0EC4-934B-A09F-ADC4CCD7C9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7672B9A-B046-B94E-8D04-125870E28F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4E8C5B89-0915-BA4F-BE96-7C34003BEB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589BB54A-C117-0D48-88CD-5302FF1DB5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48835A30-0521-8847-8BF6-23B86769D6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69DD9AFC-8605-6A47-A2FF-E411514503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1BE6ADB5-C1D3-344B-AF77-17B2BA35DA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06DAAB7-8E85-5E42-B2C9-7D3FF9EE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48617F55-1201-AD49-8EDF-E7E736D5A627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B92C6856-4B47-F743-AE80-EE3F8CDAE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120ED1A3-EE22-6343-9A4B-F74BB77C4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313ABCAB-3B21-4F49-85AE-751B9A704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7B3FA531-E3A2-E744-95E2-9C3CC6B11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B1652053-CE42-E149-95A5-C25C689F9D7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AE5F0FAB-F3D6-3147-A392-B237B20BB349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B577F9C6-AF04-2E4A-80B6-A6FF63428FC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D8E872F3-6AA3-7848-B534-A843906159CC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605036B5-2D8F-E642-86BE-E6EF136673A0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C0AB17D5-A111-1847-9CBA-68C1E1863188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C789C693-775D-7742-B634-FDAF7CE25A90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5C2AC3FD-2F90-D045-AA0C-2BD678975BD7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224EBC77-49C0-D246-8F3C-633E8FA601D4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50BA242B-2878-8543-B49D-37AD282BBF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7C4D42D3-040E-C64B-9114-237453A4B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6FE307D7-3DDA-984C-BB06-F150E60B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2C081F12-7B8E-D94D-8735-EABB7E8F2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F0315EAD-9CDD-5947-9C8E-5195BE3A4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CBFA0A26-F23C-C84E-A1E9-754440342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32B843-EC72-B94F-8850-FFC491FCED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751C385-F389-1B4F-9253-1BF78A9C71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0B0023C-2B10-CC47-B7C8-A9B2864DFC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01C1C8B-ACCD-D149-9FB8-D706B078D6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9E25FDD-5A98-BF42-8095-4BBB8B1561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1005B80-7766-6245-ADA0-CAD284274C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E486766-E466-A947-B0F1-00295EADFA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F6748572-2BF5-A84F-83A5-3F79BFF9690F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759E4B90-F382-A44D-9BF5-0E4BC96CC6B0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E1224EC5-30CF-C04C-BDF0-E707AEFFF96E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D7D934A3-43DC-DB41-A934-C526BA4946C1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90C81337-40E0-E142-9040-9C5E6FA81435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AE74F2C3-01A2-3942-8686-E2B133CE7CB6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755EF176-7AB0-BC48-AFCD-B861AE96822A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ED935672-CF02-9643-B1DB-24D7F28DDDA4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9D80767-4323-814E-97C2-91BA5AD303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BB0ABF1-6BCD-4F47-A88C-E5B3B6A1C0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84EE3E6-0F5C-CD4D-B0B1-D019FAD75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420A2CE-15A2-8F4C-B2B1-C8E4C40746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7A80B449-F549-4E45-91F7-E2F8F3159A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77BC05F3-0694-B343-B2C8-EAF16EA212FB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14A51B28-AC11-1E46-B855-CE9A79ADE232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70B955B4-9CDB-E443-829E-FF3EF0C4C101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0BC8DE58-D32D-5C4D-B2D5-9A6BFB114808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98BD8F11-F8CE-4441-92A9-22D05F91EB19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A8FD1B40-4D46-B34B-8940-4CDCDAF46A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8FA93DCD-DFC6-7D46-851C-40508D6D5F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E2DB26EF-2308-484B-BC19-152945BF19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268AE05-E5EB-BF44-AC5E-0E771673B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F6EF471D-6EC0-4F41-B789-E76C3A685F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F1FC9937-1DB9-EC41-933C-B7D655D58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84DC99B4-F133-F647-ACBA-E1F47A0CEF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87E84568-03B3-4448-85DD-29011673D4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CC610F31-68DD-DE47-BF1C-7CF4BCE9DC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A78F463-A0CA-E742-B8F3-F09186299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0E0EFAB0-D308-E745-93F4-E9EA2A56E6CA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9059AE43-B40B-A94F-B1CC-082F18983C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E2B0A992-3745-0849-B030-CCD3C6A07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090A501B-3F8F-3E42-890A-1F186A947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B07C8322-C32E-DB47-9CE0-CB407CB92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8398DB07-D822-064E-B071-7C0BBD77871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8E51BA47-A213-B34B-B2D0-826352E4490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77E52161-4626-8B4D-B900-69E889EEFBA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DC8E31F3-A85C-444F-A743-6845A81EECEF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4119689F-0292-7B4B-9A53-B78AED271FCB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0EC1C517-1CC0-6D44-B686-C40A5D9D130E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B1C2EC45-6731-0C4C-9150-DB8B32D917FA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5414FA5B-EAD0-EF4D-9127-832997BC335F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A5502B56-C04D-454A-A34A-C5C837E5D1DC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D98A39F5-661C-9F49-B7E9-B6262F0C05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6CD54F6A-8646-644A-8F27-1CBBE5922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6E1AE83D-1500-A64D-966D-5CB537B2A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93E977E2-BDFF-4A45-B721-52DF00600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FFF5ADE6-80DE-2740-B533-A9B57D682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3431FCD1-A189-C241-A1EE-FFF87F231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1EA947-1C3B-F541-9322-AB264151C2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E6A0C4C-D352-4541-BCF9-AFAC2A551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02C4D61-161D-8549-9091-C287E45711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8</xdr:col>
      <xdr:colOff>2541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E001E88-E982-DA40-B5E1-D5052D2D35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A6926B4-B711-0D46-BE0A-C982F4988F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EAB0D17-7525-AB44-BE50-AE769D1C00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734A31B-62F4-C14C-BE50-D89DEDEFD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C829AF14-543F-EE4E-AA13-B08A5562A715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3AA21E59-CEB1-0D4B-8E24-0A10AE769C32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F9D0D79C-03D0-2747-9E1D-6E258A850159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1CF5260B-A273-6D44-A7E2-8880CBDADE15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8C80577B-48FB-DF49-B062-E486269A8A68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8C6FE8CB-A1FF-2C4A-98CD-35D59AF10EDF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377B0758-6293-6148-BB3C-BE878D2076FD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91A94E5D-A67B-A74E-BEC0-F35E1BA64E27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6932D40-1DBB-EC4B-BEDB-2C0322A828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E5898ED-205A-2849-88B1-3B05835971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7F05C31-B169-F340-B0AB-C619EDBBC5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8EFFA94C-05DE-644A-BC1C-0B8DD9B1AC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6C2934A-219C-774C-8843-0C15FDC546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297EEF96-D0E9-AD4B-8B6E-95A97265B8A7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372739F4-5646-984D-868B-1B8599F120D9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E9F4C730-B341-3748-BC65-B93F85633380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D800F12C-0472-1F4E-89DF-74195A76DE64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97438219-6F31-8048-A21D-3A601F5338CE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6F36AB16-AA70-7743-8C89-76F754588A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10</xdr:col>
      <xdr:colOff>744207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1E7040B0-5B3E-5E4E-8EC9-1829085148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10</xdr:col>
      <xdr:colOff>741212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6955BED-75B2-8744-B358-B395291DD0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10</xdr:col>
      <xdr:colOff>744020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A0BE980A-D565-0749-A033-9B9DDD251F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10</xdr:col>
      <xdr:colOff>739454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5013DC83-2A2D-8D4A-A01C-67469935A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10</xdr:col>
      <xdr:colOff>739453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1C4E9E21-8C4D-1E4F-93EB-4B2BB12AE5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10</xdr:col>
      <xdr:colOff>739215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4FA1A740-A8B6-614A-8CAB-7E3A91554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14</xdr:col>
      <xdr:colOff>482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B1D84459-E104-434D-BE15-A4F197F0F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14</xdr:col>
      <xdr:colOff>2540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AEC8EE12-590D-0A4D-A77D-95A37AACFC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D6D84323-9C26-AF42-9F82-257C0D282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A15745C3-F8DD-5F4C-BAD7-9AE721EB0BB2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737948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D823A3F7-5834-6649-870D-1B398BAECB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FB8A2640-8C81-EB4F-BBE6-099F11446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A2150FF7-ED22-AF48-9B13-971C7C6C5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3B8579F6-A9AB-7448-A32E-5E2EBEB49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16FD4DE8-FDF6-8D43-B811-4C98A5BAA18C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725A29AE-1DB6-784F-A27C-C476CD482C78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FB4A6D58-4ED4-3D44-B2D8-09F4381D45C8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FA8405C5-83A3-104C-93A5-3D0CB3AACC7B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AD035612-5A5A-CE4F-BF38-A653B15C12B1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A579F400-6636-5640-BF00-BA5F50128129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2D0AFF01-24B1-6F42-867D-4AD81E9A4668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9CF0F072-2B68-6E47-9CB6-8B9F7CB3AB77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6627F7C8-32CC-1345-98CC-8DA74F277615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A4A5277D-142C-E54E-B632-6E1E72A74C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4A76B13E-CAAA-F04C-BC56-6235B95EF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1E4FF143-53AD-E148-BE6F-A4F1AFD63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ADC5BD85-2A35-AB4F-B3CF-DE926939D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E57AA737-A695-524F-A081-C54601EFB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0A917870-F8D6-9B48-92DA-274D302F0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663ABC6-9129-994F-A54F-269757F007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F7156E2-0556-0C47-808B-3133538E08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F2390F8-105E-4D44-8EF6-41CC78C941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716AB5A-1D71-5C42-878A-90B07C3CAC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62993F9-DD39-C640-A181-E6DC4228D0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C63E39A-628F-CA40-A901-64C90EEB13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02B7287-ECC9-B143-B653-42EAE7D72D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4D1F4FDC-EB4F-2147-90C4-ADA0CC66802E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D6366AFF-F6E1-B84D-8A22-97F7D20B1F3E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DCBD6B75-ACC1-3543-B650-1BA62B3ACFA1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9660C52F-A553-1A46-9A1C-F17877DD3CB4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086DA63D-1B1E-E543-AEC8-CB8676B65F64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1647420F-77D2-234D-B4F8-46B04E29ABA9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393D103E-F35A-3A49-A3A1-1A187771D2E5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01ABBF96-5A82-5346-8A42-E13C128BF893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7428E6F-4E81-CF47-BF0D-AAE987DE03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48FE6EA2-279E-1D4C-8147-E6CE4018C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F444F9C-2F01-3C47-AEF6-DD82D4E49A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0333A3E-BAE9-7643-A48C-8A87ECB935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90FD0787-F987-6B4A-953F-8A9BD8B17A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70F9CC84-50BC-FB49-B1BF-4A831507EC5A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99DA526A-6244-B04F-95EA-2871E113D36B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6CCC1D52-294F-4A48-B99C-2295A77EA982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1F35DB33-4D25-5B48-9C59-73468E5FA089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4BAF1BAA-BB00-8545-96D3-263989F1705B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CAE0E16B-CE0D-154E-9A84-DB2C64A14A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B0F63DD2-B523-0947-80BB-10A2F59593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FF40A025-A219-A34D-86B2-EE1A8C94A0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82AA846-4B4D-0649-9CA0-9597795819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127BB4B4-ACFC-2145-99D8-3F9822008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69A8D6D5-68AA-D847-872D-2114EB1528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BA9B4F21-7848-D245-82D1-A070C3D30C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8852AF69-BB69-0F43-AF73-00149F1DEA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81C4FF52-6C78-B745-AD9D-DF5CD4B8E2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FE920356-EEA0-2C47-BD28-7C27F4ED9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224527A4-ECAA-FB4A-99D5-F7AF4DFBB54F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FA09AC99-3173-7C4A-A9FE-F2DE54F319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pageSetUpPr fitToPage="1"/>
  </sheetPr>
  <dimension ref="A1:S53"/>
  <sheetViews>
    <sheetView showGridLines="0" topLeftCell="E2" zoomScale="80" zoomScaleNormal="80" workbookViewId="0">
      <selection activeCell="R10" sqref="R10"/>
    </sheetView>
  </sheetViews>
  <sheetFormatPr baseColWidth="10" defaultColWidth="0" defaultRowHeight="14.4" zeroHeight="1" x14ac:dyDescent="0.3"/>
  <cols>
    <col min="1" max="1" width="8.77734375" style="27" customWidth="1"/>
    <col min="2" max="2" width="14.6640625" style="27" customWidth="1"/>
    <col min="3" max="3" width="24.6640625" style="27" bestFit="1" customWidth="1"/>
    <col min="4" max="4" width="17.77734375" style="27" bestFit="1" customWidth="1"/>
    <col min="5" max="5" width="27.109375" style="27" customWidth="1"/>
    <col min="6" max="6" width="12.33203125" style="27" bestFit="1" customWidth="1"/>
    <col min="7" max="7" width="13.109375" style="27" bestFit="1" customWidth="1"/>
    <col min="8" max="8" width="19.109375" style="27" bestFit="1" customWidth="1"/>
    <col min="9" max="9" width="23.6640625" style="27" bestFit="1" customWidth="1"/>
    <col min="10" max="10" width="13" style="27" customWidth="1"/>
    <col min="11" max="11" width="16.6640625" style="27" bestFit="1" customWidth="1"/>
    <col min="12" max="12" width="23.33203125" style="27" bestFit="1" customWidth="1"/>
    <col min="13" max="13" width="17.33203125" style="27" bestFit="1" customWidth="1"/>
    <col min="14" max="14" width="17.33203125" style="27" customWidth="1"/>
    <col min="15" max="15" width="10.77734375" style="27" customWidth="1"/>
    <col min="16" max="16" width="39.33203125" style="27" bestFit="1" customWidth="1"/>
    <col min="17" max="17" width="4.109375" style="38" bestFit="1" customWidth="1"/>
    <col min="18" max="18" width="18" bestFit="1" customWidth="1"/>
    <col min="19" max="19" width="8.77734375" customWidth="1"/>
    <col min="20" max="16384" width="8.77734375" hidden="1"/>
  </cols>
  <sheetData>
    <row r="1" spans="1:18" ht="98.25" customHeight="1" thickBot="1" x14ac:dyDescent="0.35">
      <c r="C1" s="139" t="s">
        <v>12</v>
      </c>
      <c r="D1" s="139"/>
      <c r="E1" s="139"/>
      <c r="G1" s="18"/>
      <c r="H1" s="18" t="s">
        <v>13</v>
      </c>
      <c r="I1" s="117">
        <v>30</v>
      </c>
      <c r="J1" s="19" t="s">
        <v>14</v>
      </c>
      <c r="K1" s="118">
        <v>46239</v>
      </c>
      <c r="L1" s="19" t="s">
        <v>76</v>
      </c>
      <c r="M1" s="134" t="s">
        <v>132</v>
      </c>
      <c r="N1" s="118"/>
      <c r="P1" s="68" t="s">
        <v>56</v>
      </c>
      <c r="Q1" s="27"/>
    </row>
    <row r="2" spans="1:18" ht="51.75" customHeight="1" thickBot="1" x14ac:dyDescent="0.35">
      <c r="A2" s="144" t="s">
        <v>15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6"/>
    </row>
    <row r="3" spans="1:18" ht="15" thickBot="1" x14ac:dyDescent="0.35">
      <c r="Q3" s="27"/>
    </row>
    <row r="4" spans="1:18" s="1" customFormat="1" ht="46.05" customHeight="1" thickBot="1" x14ac:dyDescent="0.35">
      <c r="A4" s="28"/>
      <c r="B4" s="140" t="s">
        <v>16</v>
      </c>
      <c r="C4" s="141"/>
      <c r="D4" s="28"/>
      <c r="E4" s="142" t="s">
        <v>19</v>
      </c>
      <c r="F4" s="143"/>
      <c r="G4" s="28"/>
      <c r="H4" s="140" t="s">
        <v>22</v>
      </c>
      <c r="I4" s="141"/>
      <c r="J4" s="3" t="s">
        <v>23</v>
      </c>
      <c r="K4" s="28"/>
      <c r="L4" s="140" t="s">
        <v>24</v>
      </c>
      <c r="M4" s="141"/>
      <c r="N4" s="28"/>
      <c r="O4" s="28"/>
      <c r="P4" s="161" t="s">
        <v>125</v>
      </c>
      <c r="Q4" s="28"/>
    </row>
    <row r="5" spans="1:18" ht="46.05" customHeight="1" x14ac:dyDescent="0.3">
      <c r="B5" s="20" t="s">
        <v>82</v>
      </c>
      <c r="C5" s="93">
        <v>4758</v>
      </c>
      <c r="E5" s="21" t="s">
        <v>55</v>
      </c>
      <c r="F5" s="96">
        <v>8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475.8</v>
      </c>
      <c r="P5" s="161"/>
      <c r="Q5" s="27"/>
    </row>
    <row r="6" spans="1:18" ht="46.05" customHeight="1" thickBot="1" x14ac:dyDescent="0.35">
      <c r="B6" s="39" t="s">
        <v>17</v>
      </c>
      <c r="C6" s="109">
        <f>C5*0.85</f>
        <v>4044.2999999999997</v>
      </c>
      <c r="E6" s="5" t="s">
        <v>20</v>
      </c>
      <c r="F6" s="97">
        <v>0.13</v>
      </c>
      <c r="H6" s="22" t="s">
        <v>4</v>
      </c>
      <c r="I6" s="101">
        <v>0.05</v>
      </c>
      <c r="J6" s="100">
        <f>IF(+C8*I6&lt;1,1,C8*I6)</f>
        <v>1</v>
      </c>
      <c r="L6" s="6" t="s">
        <v>23</v>
      </c>
      <c r="M6" s="105">
        <f>C8/D25</f>
        <v>0.10305393112410657</v>
      </c>
      <c r="P6" s="16" t="s">
        <v>2</v>
      </c>
      <c r="Q6" s="27"/>
    </row>
    <row r="7" spans="1:18" ht="46.05" customHeight="1" thickBot="1" x14ac:dyDescent="0.35">
      <c r="B7" s="40" t="s">
        <v>3</v>
      </c>
      <c r="C7" s="109">
        <f>+C5*0.15</f>
        <v>713.69999999999993</v>
      </c>
      <c r="E7" s="5" t="s">
        <v>21</v>
      </c>
      <c r="F7" s="94">
        <f>+F5*F6</f>
        <v>1.04</v>
      </c>
      <c r="H7" s="23" t="s">
        <v>5</v>
      </c>
      <c r="I7" s="102">
        <v>0.3</v>
      </c>
      <c r="J7" s="103">
        <f>IF(C8*I7&lt;1,1,C8*I7)</f>
        <v>1</v>
      </c>
      <c r="P7" s="107">
        <v>7500</v>
      </c>
      <c r="Q7" s="27"/>
    </row>
    <row r="8" spans="1:18" ht="46.05" customHeight="1" thickBot="1" x14ac:dyDescent="0.35">
      <c r="B8" s="24" t="s">
        <v>18</v>
      </c>
      <c r="C8" s="95">
        <f>+C5/P9</f>
        <v>1.0305393112410657</v>
      </c>
      <c r="E8" s="25" t="s">
        <v>83</v>
      </c>
      <c r="F8" s="98">
        <f>+C5*1.1</f>
        <v>5233.8</v>
      </c>
      <c r="H8" s="29"/>
      <c r="I8" s="172" t="s">
        <v>77</v>
      </c>
      <c r="J8" s="173"/>
      <c r="L8" s="140" t="s">
        <v>57</v>
      </c>
      <c r="M8" s="141"/>
      <c r="P8" s="17" t="s">
        <v>6</v>
      </c>
      <c r="Q8" s="27"/>
    </row>
    <row r="9" spans="1:18" ht="46.05" customHeight="1" thickBot="1" x14ac:dyDescent="0.35">
      <c r="C9"/>
      <c r="E9" s="172" t="s">
        <v>91</v>
      </c>
      <c r="F9" s="173"/>
      <c r="H9"/>
      <c r="I9"/>
      <c r="J9" s="30"/>
      <c r="L9" s="4" t="s">
        <v>75</v>
      </c>
      <c r="M9" s="106">
        <v>4758</v>
      </c>
      <c r="P9" s="108">
        <v>4617</v>
      </c>
      <c r="Q9" s="27"/>
    </row>
    <row r="10" spans="1:18" ht="46.05" customHeight="1" thickBot="1" x14ac:dyDescent="0.35">
      <c r="B10" s="28"/>
      <c r="C10" s="28"/>
      <c r="J10"/>
      <c r="P10" s="181" t="s">
        <v>26</v>
      </c>
      <c r="Q10" s="27"/>
    </row>
    <row r="11" spans="1:18" ht="46.05" customHeight="1" thickBot="1" x14ac:dyDescent="0.35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69"/>
      <c r="J11" s="169"/>
      <c r="K11" s="169"/>
      <c r="L11" s="169"/>
      <c r="M11" s="169"/>
      <c r="N11" s="119"/>
      <c r="P11" s="181"/>
      <c r="Q11" s="27"/>
    </row>
    <row r="12" spans="1:18" ht="46.05" customHeight="1" thickBot="1" x14ac:dyDescent="0.35">
      <c r="B12" s="42" t="s">
        <v>27</v>
      </c>
      <c r="C12" s="69">
        <v>4</v>
      </c>
      <c r="D12" s="70">
        <v>2</v>
      </c>
      <c r="E12" s="70">
        <v>2</v>
      </c>
      <c r="F12" s="70">
        <v>0</v>
      </c>
      <c r="G12" s="85">
        <v>0</v>
      </c>
      <c r="H12" s="86">
        <f>SUM(C12:G12)</f>
        <v>8</v>
      </c>
      <c r="I12" s="169"/>
      <c r="J12" s="169"/>
      <c r="K12" s="169"/>
      <c r="L12" s="169"/>
      <c r="M12" s="169"/>
      <c r="N12" s="119"/>
      <c r="O12"/>
      <c r="P12" s="16" t="s">
        <v>2</v>
      </c>
      <c r="Q12" s="27"/>
    </row>
    <row r="13" spans="1:18" ht="46.05" customHeight="1" thickBot="1" x14ac:dyDescent="0.35">
      <c r="B13" s="43" t="s">
        <v>28</v>
      </c>
      <c r="C13" s="87">
        <f>+C12/$H$12</f>
        <v>0.5</v>
      </c>
      <c r="D13" s="88">
        <f>+D12/$H$12</f>
        <v>0.25</v>
      </c>
      <c r="E13" s="88">
        <f>+E12/$H$12</f>
        <v>0.25</v>
      </c>
      <c r="F13" s="88">
        <f>+F12/$H$12</f>
        <v>0</v>
      </c>
      <c r="G13" s="88">
        <f>+G12/$H$12</f>
        <v>0</v>
      </c>
      <c r="H13" s="89"/>
      <c r="I13" s="169"/>
      <c r="J13" s="169"/>
      <c r="K13" s="169"/>
      <c r="L13" s="169"/>
      <c r="M13" s="169"/>
      <c r="N13" s="119"/>
      <c r="P13" s="107">
        <v>6578</v>
      </c>
      <c r="Q13" s="27"/>
    </row>
    <row r="14" spans="1:18" ht="46.05" customHeight="1" thickBot="1" x14ac:dyDescent="0.35">
      <c r="B14" s="44" t="s">
        <v>29</v>
      </c>
      <c r="C14" s="90">
        <f>+C13*$C$5</f>
        <v>2379</v>
      </c>
      <c r="D14" s="91">
        <f t="shared" ref="D14:G14" si="0">+D13*$C$5</f>
        <v>1189.5</v>
      </c>
      <c r="E14" s="91">
        <f t="shared" si="0"/>
        <v>1189.5</v>
      </c>
      <c r="F14" s="91">
        <f t="shared" si="0"/>
        <v>0</v>
      </c>
      <c r="G14" s="91">
        <f t="shared" si="0"/>
        <v>0</v>
      </c>
      <c r="H14" s="92">
        <f>+SUM(C14:G14)</f>
        <v>4758</v>
      </c>
      <c r="I14" s="169"/>
      <c r="J14" s="169"/>
      <c r="K14" s="169"/>
      <c r="L14" s="169"/>
      <c r="M14" s="169"/>
      <c r="N14" s="119"/>
      <c r="P14" s="17" t="s">
        <v>6</v>
      </c>
      <c r="Q14" s="27"/>
    </row>
    <row r="15" spans="1:18" ht="35.25" customHeight="1" thickBot="1" x14ac:dyDescent="0.35">
      <c r="D15" s="28"/>
      <c r="E15" s="28"/>
      <c r="F15" s="28"/>
      <c r="G15" s="28"/>
      <c r="H15" s="28"/>
      <c r="I15" s="28"/>
      <c r="J15" s="28"/>
      <c r="K15" s="28"/>
      <c r="L15" s="28"/>
      <c r="P15" s="108">
        <v>4312</v>
      </c>
      <c r="Q15" s="27"/>
    </row>
    <row r="16" spans="1:18" s="1" customFormat="1" ht="46.05" customHeight="1" thickBot="1" x14ac:dyDescent="0.35">
      <c r="A16" s="28"/>
      <c r="B16" s="163" t="s">
        <v>33</v>
      </c>
      <c r="C16" s="16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62" t="s">
        <v>97</v>
      </c>
      <c r="M16" s="162"/>
      <c r="N16" s="162"/>
      <c r="O16" s="162"/>
      <c r="P16" s="32"/>
      <c r="Q16" s="27"/>
      <c r="R16"/>
    </row>
    <row r="17" spans="1:19" s="26" customFormat="1" ht="46.05" customHeight="1" x14ac:dyDescent="0.3">
      <c r="A17" s="33"/>
      <c r="B17" s="165" t="s">
        <v>133</v>
      </c>
      <c r="C17" s="166"/>
      <c r="D17" s="132">
        <v>10</v>
      </c>
      <c r="E17" s="72">
        <f t="shared" ref="E17:E24" si="1">($C$5/$D$25)*D17</f>
        <v>4758</v>
      </c>
      <c r="F17" s="73">
        <f>IF((($C$8-$J$5)/$D$25)*D17&lt;1,1,((($C$8-$J$5)/$D$25)*D17))</f>
        <v>1</v>
      </c>
      <c r="G17" s="123"/>
      <c r="H17" s="74">
        <f t="shared" ref="H17:H24" si="2">IF(D17&gt;0,MAX(($J$6/$D$25)*D17,1),0)</f>
        <v>1</v>
      </c>
      <c r="I17" s="75">
        <f t="shared" ref="I17:I24" si="3">IF(D17&gt;0,MAX(($J$7/$D$25)*D17,1),0)</f>
        <v>1</v>
      </c>
      <c r="J17" s="34"/>
      <c r="K17" s="28"/>
      <c r="L17" s="162"/>
      <c r="M17" s="162"/>
      <c r="N17" s="162"/>
      <c r="O17" s="162"/>
      <c r="P17" s="32"/>
      <c r="Q17" s="27"/>
      <c r="R17"/>
    </row>
    <row r="18" spans="1:19" s="26" customFormat="1" ht="46.05" customHeight="1" x14ac:dyDescent="0.3">
      <c r="A18" s="33"/>
      <c r="B18" s="167"/>
      <c r="C18" s="168"/>
      <c r="D18" s="71"/>
      <c r="E18" s="76">
        <f t="shared" si="1"/>
        <v>0</v>
      </c>
      <c r="F18" s="77">
        <f t="shared" ref="F18:F24" si="4">IF((($C$8-$J$5)/$D$25)*D18&lt;1,1,((($C$8-$J$5)/$D$25)*D18))</f>
        <v>1</v>
      </c>
      <c r="G18" s="124"/>
      <c r="H18" s="78">
        <f t="shared" si="2"/>
        <v>0</v>
      </c>
      <c r="I18" s="79">
        <f t="shared" si="3"/>
        <v>0</v>
      </c>
      <c r="J18" s="34"/>
      <c r="K18" s="28"/>
      <c r="L18" s="162"/>
      <c r="M18" s="162"/>
      <c r="N18" s="162"/>
      <c r="O18" s="162"/>
      <c r="P18" s="32"/>
      <c r="Q18" s="27"/>
      <c r="R18"/>
    </row>
    <row r="19" spans="1:19" s="26" customFormat="1" ht="46.05" customHeight="1" x14ac:dyDescent="0.3">
      <c r="A19" s="33"/>
      <c r="B19" s="167"/>
      <c r="C19" s="168"/>
      <c r="D19" s="71"/>
      <c r="E19" s="76">
        <f t="shared" si="1"/>
        <v>0</v>
      </c>
      <c r="F19" s="77">
        <f t="shared" si="4"/>
        <v>1</v>
      </c>
      <c r="G19" s="124"/>
      <c r="H19" s="78">
        <f t="shared" si="2"/>
        <v>0</v>
      </c>
      <c r="I19" s="79">
        <f t="shared" si="3"/>
        <v>0</v>
      </c>
      <c r="J19" s="34"/>
      <c r="K19" s="28"/>
      <c r="L19" s="162"/>
      <c r="M19" s="162"/>
      <c r="N19" s="162"/>
      <c r="O19" s="162"/>
      <c r="P19" s="32"/>
      <c r="Q19" s="27"/>
      <c r="R19"/>
    </row>
    <row r="20" spans="1:19" s="26" customFormat="1" ht="46.05" customHeight="1" x14ac:dyDescent="0.3">
      <c r="A20" s="33"/>
      <c r="B20" s="167"/>
      <c r="C20" s="168"/>
      <c r="D20" s="71"/>
      <c r="E20" s="76">
        <f t="shared" si="1"/>
        <v>0</v>
      </c>
      <c r="F20" s="77">
        <f t="shared" si="4"/>
        <v>1</v>
      </c>
      <c r="G20" s="124"/>
      <c r="H20" s="78">
        <f t="shared" si="2"/>
        <v>0</v>
      </c>
      <c r="I20" s="79">
        <f t="shared" si="3"/>
        <v>0</v>
      </c>
      <c r="J20" s="34"/>
      <c r="K20" s="28"/>
      <c r="L20" s="162"/>
      <c r="M20" s="162"/>
      <c r="N20" s="162"/>
      <c r="O20" s="162"/>
      <c r="P20" s="32"/>
      <c r="Q20" s="27"/>
      <c r="R20"/>
    </row>
    <row r="21" spans="1:19" s="26" customFormat="1" ht="46.05" customHeight="1" x14ac:dyDescent="0.3">
      <c r="A21" s="33"/>
      <c r="B21" s="167"/>
      <c r="C21" s="168"/>
      <c r="D21" s="71"/>
      <c r="E21" s="76">
        <f t="shared" si="1"/>
        <v>0</v>
      </c>
      <c r="F21" s="77">
        <f>IF((($C$8-$J$5)/$D$25)*D21&lt;1,1,((($C$8-$J$5)/$D$25)*D21))</f>
        <v>1</v>
      </c>
      <c r="G21" s="124"/>
      <c r="H21" s="78">
        <f t="shared" si="2"/>
        <v>0</v>
      </c>
      <c r="I21" s="79">
        <f t="shared" si="3"/>
        <v>0</v>
      </c>
      <c r="J21" s="34"/>
      <c r="K21" s="28"/>
      <c r="L21" s="162"/>
      <c r="M21" s="162"/>
      <c r="N21" s="162"/>
      <c r="O21" s="162"/>
      <c r="P21" s="32"/>
      <c r="Q21" s="27"/>
      <c r="R21"/>
    </row>
    <row r="22" spans="1:19" s="26" customFormat="1" ht="46.05" customHeight="1" x14ac:dyDescent="0.3">
      <c r="A22" s="33"/>
      <c r="B22" s="167"/>
      <c r="C22" s="168"/>
      <c r="D22" s="71"/>
      <c r="E22" s="76">
        <f t="shared" si="1"/>
        <v>0</v>
      </c>
      <c r="F22" s="77">
        <f t="shared" si="4"/>
        <v>1</v>
      </c>
      <c r="G22" s="124"/>
      <c r="H22" s="78">
        <f t="shared" si="2"/>
        <v>0</v>
      </c>
      <c r="I22" s="79">
        <f t="shared" si="3"/>
        <v>0</v>
      </c>
      <c r="J22" s="34"/>
      <c r="K22" s="28"/>
      <c r="L22" s="162"/>
      <c r="M22" s="162"/>
      <c r="N22" s="162"/>
      <c r="O22" s="162"/>
      <c r="P22" s="32"/>
      <c r="Q22" s="27"/>
      <c r="R22"/>
    </row>
    <row r="23" spans="1:19" s="26" customFormat="1" ht="46.05" customHeight="1" x14ac:dyDescent="0.3">
      <c r="A23" s="33"/>
      <c r="B23" s="170"/>
      <c r="C23" s="171"/>
      <c r="D23" s="10"/>
      <c r="E23" s="76">
        <f t="shared" si="1"/>
        <v>0</v>
      </c>
      <c r="F23" s="77">
        <f t="shared" si="4"/>
        <v>1</v>
      </c>
      <c r="G23" s="124"/>
      <c r="H23" s="78">
        <f t="shared" si="2"/>
        <v>0</v>
      </c>
      <c r="I23" s="79">
        <f t="shared" si="3"/>
        <v>0</v>
      </c>
      <c r="J23" s="34"/>
      <c r="K23" s="28"/>
      <c r="L23" s="162"/>
      <c r="M23" s="162"/>
      <c r="N23" s="162"/>
      <c r="O23" s="162"/>
      <c r="P23" s="32"/>
      <c r="Q23" s="27"/>
      <c r="R23"/>
    </row>
    <row r="24" spans="1:19" s="26" customFormat="1" ht="46.05" customHeight="1" thickBot="1" x14ac:dyDescent="0.35">
      <c r="A24" s="33"/>
      <c r="B24" s="170"/>
      <c r="C24" s="171"/>
      <c r="D24" s="10"/>
      <c r="E24" s="76">
        <f t="shared" si="1"/>
        <v>0</v>
      </c>
      <c r="F24" s="77">
        <f t="shared" si="4"/>
        <v>1</v>
      </c>
      <c r="G24" s="124"/>
      <c r="H24" s="78">
        <f t="shared" si="2"/>
        <v>0</v>
      </c>
      <c r="I24" s="79">
        <f t="shared" si="3"/>
        <v>0</v>
      </c>
      <c r="J24" s="34"/>
      <c r="K24" s="28"/>
      <c r="L24" s="162"/>
      <c r="M24" s="162"/>
      <c r="N24" s="162"/>
      <c r="O24" s="162"/>
      <c r="P24" s="32"/>
      <c r="Q24" s="27"/>
      <c r="R24"/>
    </row>
    <row r="25" spans="1:19" s="26" customFormat="1" ht="46.05" customHeight="1" thickBot="1" x14ac:dyDescent="0.35">
      <c r="A25" s="33"/>
      <c r="B25" s="174" t="s">
        <v>0</v>
      </c>
      <c r="C25" s="175" t="s">
        <v>0</v>
      </c>
      <c r="D25" s="84">
        <f>+SUM(D17:D24)</f>
        <v>10</v>
      </c>
      <c r="E25" s="80">
        <f>SUM(E17:E24)</f>
        <v>4758</v>
      </c>
      <c r="F25" s="81">
        <f>SUM(F17:F24)</f>
        <v>8</v>
      </c>
      <c r="G25" s="81">
        <f>SUM(G17:G24)</f>
        <v>0</v>
      </c>
      <c r="H25" s="82">
        <f>+J6</f>
        <v>1</v>
      </c>
      <c r="I25" s="83">
        <f>+J7</f>
        <v>1</v>
      </c>
      <c r="J25" s="35"/>
      <c r="K25" s="28"/>
      <c r="L25" s="162"/>
      <c r="M25" s="162"/>
      <c r="N25" s="162"/>
      <c r="O25" s="162"/>
      <c r="P25" s="32"/>
      <c r="Q25" s="27"/>
      <c r="R25"/>
    </row>
    <row r="26" spans="1:19" ht="56.55" customHeight="1" thickBot="1" x14ac:dyDescent="0.35">
      <c r="F26" s="28"/>
      <c r="Q26" s="27"/>
    </row>
    <row r="27" spans="1:19" ht="62.25" customHeight="1" thickBot="1" x14ac:dyDescent="0.35">
      <c r="A27" s="144" t="s">
        <v>39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6"/>
    </row>
    <row r="28" spans="1:19" ht="15.45" customHeight="1" thickBot="1" x14ac:dyDescent="0.35">
      <c r="Q28" s="27"/>
    </row>
    <row r="29" spans="1:19" ht="31.8" thickBot="1" x14ac:dyDescent="0.35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 x14ac:dyDescent="0.35">
      <c r="A30" s="33"/>
      <c r="B30" s="158" t="s">
        <v>46</v>
      </c>
      <c r="C30" s="159" t="s">
        <v>0</v>
      </c>
      <c r="D30" s="115">
        <f>+C5</f>
        <v>4758</v>
      </c>
      <c r="E30" s="116">
        <v>25600</v>
      </c>
      <c r="F30" s="115">
        <f>+C8</f>
        <v>1.0305393112410657</v>
      </c>
      <c r="G30" s="116">
        <v>5</v>
      </c>
      <c r="H30" s="125">
        <f>G41/E41</f>
        <v>0.23076923076923078</v>
      </c>
      <c r="I30" s="126">
        <f>H30-F6</f>
        <v>0.10076923076923078</v>
      </c>
      <c r="J30" s="127">
        <v>0.316</v>
      </c>
      <c r="K30" s="127">
        <v>0.111</v>
      </c>
      <c r="L30" s="131">
        <f>P41/G30</f>
        <v>0.2</v>
      </c>
      <c r="M30" s="36"/>
      <c r="N30" s="36"/>
      <c r="O30" s="36"/>
      <c r="P30" s="27"/>
      <c r="Q30" s="27"/>
      <c r="R30"/>
      <c r="S30"/>
    </row>
    <row r="31" spans="1:19" ht="15.45" customHeight="1" thickBot="1" x14ac:dyDescent="0.35">
      <c r="Q31" s="27"/>
    </row>
    <row r="32" spans="1:19" s="1" customFormat="1" ht="58.05" customHeight="1" thickBot="1" x14ac:dyDescent="0.35">
      <c r="A32" s="28"/>
      <c r="B32" s="163" t="s">
        <v>47</v>
      </c>
      <c r="C32" s="164"/>
      <c r="D32" s="14" t="s">
        <v>34</v>
      </c>
      <c r="E32" s="152" t="s">
        <v>48</v>
      </c>
      <c r="F32" s="153"/>
      <c r="G32" s="154" t="s">
        <v>49</v>
      </c>
      <c r="H32" s="155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05" customHeight="1" x14ac:dyDescent="0.3">
      <c r="A33" s="33"/>
      <c r="B33" s="179" t="str">
        <f t="shared" ref="B33:B40" si="5">B17</f>
        <v>VIVIANA</v>
      </c>
      <c r="C33" s="180"/>
      <c r="D33" s="133">
        <f t="shared" ref="D33:D40" si="6">D17</f>
        <v>10</v>
      </c>
      <c r="E33" s="160">
        <v>6</v>
      </c>
      <c r="F33" s="160"/>
      <c r="G33" s="156">
        <v>1</v>
      </c>
      <c r="H33" s="157"/>
      <c r="I33" s="122">
        <f>IFERROR(G33/E33,"0")</f>
        <v>0.16666666666666666</v>
      </c>
      <c r="J33" s="110">
        <v>13456</v>
      </c>
      <c r="K33" s="110">
        <v>2</v>
      </c>
      <c r="L33" s="110">
        <v>3</v>
      </c>
      <c r="M33" s="120">
        <v>1</v>
      </c>
      <c r="N33" s="122">
        <f>IFERROR(M33/L33,"0")</f>
        <v>0.33333333333333331</v>
      </c>
      <c r="O33" s="110">
        <v>1</v>
      </c>
      <c r="P33" s="111">
        <v>1</v>
      </c>
      <c r="Q33" s="37"/>
      <c r="R33"/>
      <c r="S33"/>
    </row>
    <row r="34" spans="1:19" s="26" customFormat="1" ht="46.05" customHeight="1" x14ac:dyDescent="0.3">
      <c r="A34" s="33"/>
      <c r="B34" s="150">
        <f t="shared" si="5"/>
        <v>0</v>
      </c>
      <c r="C34" s="151"/>
      <c r="D34" s="112">
        <f t="shared" si="6"/>
        <v>0</v>
      </c>
      <c r="E34" s="147">
        <v>4</v>
      </c>
      <c r="F34" s="147"/>
      <c r="G34" s="148">
        <v>1</v>
      </c>
      <c r="H34" s="149"/>
      <c r="I34" s="122">
        <f t="shared" ref="I34:I40" si="7">IFERROR(G34/E34,"0")</f>
        <v>0.25</v>
      </c>
      <c r="J34" s="113">
        <v>9344</v>
      </c>
      <c r="K34" s="113">
        <v>1</v>
      </c>
      <c r="L34" s="113">
        <v>1</v>
      </c>
      <c r="M34" s="121">
        <v>0</v>
      </c>
      <c r="N34" s="122">
        <f t="shared" ref="N34:N40" si="8">IFERROR(M34/L34,"0")</f>
        <v>0</v>
      </c>
      <c r="O34" s="113">
        <v>0</v>
      </c>
      <c r="P34" s="114">
        <v>0</v>
      </c>
      <c r="Q34" s="37"/>
      <c r="R34"/>
      <c r="S34"/>
    </row>
    <row r="35" spans="1:19" s="26" customFormat="1" ht="46.05" customHeight="1" x14ac:dyDescent="0.3">
      <c r="A35" s="33"/>
      <c r="B35" s="150">
        <f t="shared" si="5"/>
        <v>0</v>
      </c>
      <c r="C35" s="151"/>
      <c r="D35" s="112">
        <f t="shared" si="6"/>
        <v>0</v>
      </c>
      <c r="E35" s="147">
        <v>3</v>
      </c>
      <c r="F35" s="147"/>
      <c r="G35" s="148">
        <v>1</v>
      </c>
      <c r="H35" s="149"/>
      <c r="I35" s="122">
        <f t="shared" si="7"/>
        <v>0.33333333333333331</v>
      </c>
      <c r="J35" s="113">
        <v>2800</v>
      </c>
      <c r="K35" s="113">
        <v>1</v>
      </c>
      <c r="L35" s="113">
        <v>0</v>
      </c>
      <c r="M35" s="121">
        <v>0</v>
      </c>
      <c r="N35" s="122" t="str">
        <f t="shared" si="8"/>
        <v>0</v>
      </c>
      <c r="O35" s="113">
        <v>0</v>
      </c>
      <c r="P35" s="114">
        <v>0</v>
      </c>
      <c r="Q35" s="37"/>
      <c r="R35"/>
      <c r="S35"/>
    </row>
    <row r="36" spans="1:19" s="26" customFormat="1" ht="46.05" customHeight="1" x14ac:dyDescent="0.3">
      <c r="A36" s="33"/>
      <c r="B36" s="150">
        <f t="shared" si="5"/>
        <v>0</v>
      </c>
      <c r="C36" s="151"/>
      <c r="D36" s="112">
        <f t="shared" si="6"/>
        <v>0</v>
      </c>
      <c r="E36" s="147">
        <v>0</v>
      </c>
      <c r="F36" s="147"/>
      <c r="G36" s="148">
        <v>0</v>
      </c>
      <c r="H36" s="149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05" customHeight="1" x14ac:dyDescent="0.3">
      <c r="A37" s="33"/>
      <c r="B37" s="150">
        <f t="shared" si="5"/>
        <v>0</v>
      </c>
      <c r="C37" s="151"/>
      <c r="D37" s="112">
        <f t="shared" si="6"/>
        <v>0</v>
      </c>
      <c r="E37" s="147"/>
      <c r="F37" s="147"/>
      <c r="G37" s="148"/>
      <c r="H37" s="149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05" customHeight="1" x14ac:dyDescent="0.3">
      <c r="A38" s="33"/>
      <c r="B38" s="150">
        <f t="shared" si="5"/>
        <v>0</v>
      </c>
      <c r="C38" s="151"/>
      <c r="D38" s="112">
        <f t="shared" si="6"/>
        <v>0</v>
      </c>
      <c r="E38" s="147"/>
      <c r="F38" s="147"/>
      <c r="G38" s="148"/>
      <c r="H38" s="149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05" customHeight="1" x14ac:dyDescent="0.3">
      <c r="A39" s="33"/>
      <c r="B39" s="150">
        <f t="shared" si="5"/>
        <v>0</v>
      </c>
      <c r="C39" s="151"/>
      <c r="D39" s="112">
        <f t="shared" si="6"/>
        <v>0</v>
      </c>
      <c r="E39" s="147"/>
      <c r="F39" s="147"/>
      <c r="G39" s="148"/>
      <c r="H39" s="149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05" customHeight="1" x14ac:dyDescent="0.3">
      <c r="A40" s="33"/>
      <c r="B40" s="150">
        <f t="shared" si="5"/>
        <v>0</v>
      </c>
      <c r="C40" s="151"/>
      <c r="D40" s="112">
        <f t="shared" si="6"/>
        <v>0</v>
      </c>
      <c r="E40" s="147"/>
      <c r="F40" s="147"/>
      <c r="G40" s="148"/>
      <c r="H40" s="149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05" customHeight="1" x14ac:dyDescent="0.3">
      <c r="A41" s="33"/>
      <c r="B41" s="150" t="s">
        <v>0</v>
      </c>
      <c r="C41" s="151"/>
      <c r="D41" s="112">
        <f>SUM(D33:D40)</f>
        <v>10</v>
      </c>
      <c r="E41" s="178">
        <f t="shared" ref="E41:H41" si="9">SUM(E33:E40)</f>
        <v>13</v>
      </c>
      <c r="F41" s="178">
        <f t="shared" si="9"/>
        <v>0</v>
      </c>
      <c r="G41" s="176">
        <f t="shared" si="9"/>
        <v>3</v>
      </c>
      <c r="H41" s="177">
        <f t="shared" si="9"/>
        <v>0</v>
      </c>
      <c r="I41" s="122">
        <f t="shared" ref="I41" si="10">IFERROR(G41/E41,"0")</f>
        <v>0.23076923076923078</v>
      </c>
      <c r="J41" s="128">
        <f t="shared" ref="J41" si="11">SUM(J33:J40)</f>
        <v>25600</v>
      </c>
      <c r="K41" s="128">
        <f t="shared" ref="K41" si="12">SUM(K33:K40)</f>
        <v>4</v>
      </c>
      <c r="L41" s="128">
        <f t="shared" ref="L41" si="13">SUM(L33:L40)</f>
        <v>4</v>
      </c>
      <c r="M41" s="129">
        <f t="shared" ref="M41" si="14">SUM(M33:M40)</f>
        <v>1</v>
      </c>
      <c r="N41" s="122">
        <f t="shared" ref="N41" si="15">IFERROR(M41/L41,"0")</f>
        <v>0.25</v>
      </c>
      <c r="O41" s="128">
        <f t="shared" ref="O41" si="16">SUM(O33:O40)</f>
        <v>1</v>
      </c>
      <c r="P41" s="130">
        <f t="shared" ref="P41" si="17">SUM(P33:P40)</f>
        <v>1</v>
      </c>
      <c r="Q41" s="37"/>
      <c r="R41"/>
      <c r="S41"/>
    </row>
    <row r="42" spans="1:19" ht="16.05" hidden="1" customHeight="1" thickTop="1" x14ac:dyDescent="0.3">
      <c r="A42"/>
    </row>
    <row r="43" spans="1:19" x14ac:dyDescent="0.3"/>
    <row r="44" spans="1:19" x14ac:dyDescent="0.3"/>
    <row r="45" spans="1:19" x14ac:dyDescent="0.3"/>
    <row r="46" spans="1:19" x14ac:dyDescent="0.3"/>
    <row r="47" spans="1:19" x14ac:dyDescent="0.3"/>
    <row r="48" spans="1:19" x14ac:dyDescent="0.3"/>
    <row r="49" x14ac:dyDescent="0.3"/>
    <row r="50" x14ac:dyDescent="0.3"/>
    <row r="51" x14ac:dyDescent="0.3"/>
    <row r="52" x14ac:dyDescent="0.3"/>
    <row r="53" x14ac:dyDescent="0.3"/>
  </sheetData>
  <sheetProtection selectLockedCells="1"/>
  <mergeCells count="55">
    <mergeCell ref="E36:F36"/>
    <mergeCell ref="G36:H36"/>
    <mergeCell ref="B36:C36"/>
    <mergeCell ref="B40:C40"/>
    <mergeCell ref="B37:C37"/>
    <mergeCell ref="B41:C41"/>
    <mergeCell ref="G41:H41"/>
    <mergeCell ref="G40:H40"/>
    <mergeCell ref="G39:H39"/>
    <mergeCell ref="G38:H38"/>
    <mergeCell ref="G37:H37"/>
    <mergeCell ref="E40:F40"/>
    <mergeCell ref="E41:F41"/>
    <mergeCell ref="E38:F38"/>
    <mergeCell ref="E39:F39"/>
    <mergeCell ref="E37:F37"/>
    <mergeCell ref="B38:C38"/>
    <mergeCell ref="B39:C39"/>
    <mergeCell ref="P4:P5"/>
    <mergeCell ref="L16:O25"/>
    <mergeCell ref="A2:Q2"/>
    <mergeCell ref="B16:C16"/>
    <mergeCell ref="B17:C17"/>
    <mergeCell ref="B18:C18"/>
    <mergeCell ref="B19:C19"/>
    <mergeCell ref="B20:C20"/>
    <mergeCell ref="I11:M14"/>
    <mergeCell ref="B23:C23"/>
    <mergeCell ref="B24:C24"/>
    <mergeCell ref="B21:C21"/>
    <mergeCell ref="B22:C22"/>
    <mergeCell ref="E9:F9"/>
    <mergeCell ref="I8:J8"/>
    <mergeCell ref="B25:C25"/>
    <mergeCell ref="L8:M8"/>
    <mergeCell ref="A27:Q27"/>
    <mergeCell ref="E34:F34"/>
    <mergeCell ref="G34:H34"/>
    <mergeCell ref="E35:F35"/>
    <mergeCell ref="G35:H35"/>
    <mergeCell ref="B35:C35"/>
    <mergeCell ref="E32:F32"/>
    <mergeCell ref="G32:H32"/>
    <mergeCell ref="G33:H33"/>
    <mergeCell ref="B30:C30"/>
    <mergeCell ref="B34:C34"/>
    <mergeCell ref="E33:F33"/>
    <mergeCell ref="B32:C32"/>
    <mergeCell ref="B33:C33"/>
    <mergeCell ref="P10:P11"/>
    <mergeCell ref="C1:E1"/>
    <mergeCell ref="B4:C4"/>
    <mergeCell ref="E4:F4"/>
    <mergeCell ref="H4:I4"/>
    <mergeCell ref="L4:M4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4.4" zeroHeight="1" x14ac:dyDescent="0.3"/>
  <cols>
    <col min="1" max="1" width="16" style="2" customWidth="1"/>
    <col min="2" max="2" width="18.77734375" style="2" bestFit="1" customWidth="1"/>
    <col min="3" max="4" width="10.77734375" style="2" customWidth="1"/>
    <col min="5" max="5" width="22.109375" style="2" customWidth="1"/>
    <col min="6" max="6" width="15.6640625" style="2" customWidth="1"/>
    <col min="7" max="7" width="14" style="2" customWidth="1"/>
    <col min="8" max="12" width="10.77734375" style="2" customWidth="1"/>
    <col min="13" max="14" width="11.33203125" style="2" customWidth="1"/>
    <col min="15" max="15" width="10.77734375" style="2" customWidth="1"/>
    <col min="16" max="16" width="15.33203125" style="2" customWidth="1"/>
    <col min="17" max="18" width="10.77734375" style="2" customWidth="1"/>
    <col min="19" max="16384" width="10.77734375" style="2" hidden="1"/>
  </cols>
  <sheetData>
    <row r="1" spans="1:16" ht="79.95" customHeight="1" thickBot="1" x14ac:dyDescent="0.35">
      <c r="A1" s="48"/>
      <c r="B1" s="218" t="s">
        <v>59</v>
      </c>
      <c r="C1" s="218"/>
      <c r="D1" s="218"/>
      <c r="E1" s="218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219" t="s">
        <v>56</v>
      </c>
      <c r="P1" s="220"/>
    </row>
    <row r="2" spans="1:16" ht="48" thickBot="1" x14ac:dyDescent="0.35">
      <c r="A2" s="144" t="s">
        <v>60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6"/>
    </row>
    <row r="3" spans="1:16" ht="15" thickBot="1" x14ac:dyDescent="0.35"/>
    <row r="4" spans="1:16" ht="39.450000000000003" customHeight="1" x14ac:dyDescent="0.3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221" t="s">
        <v>73</v>
      </c>
      <c r="J4" s="222"/>
      <c r="K4" s="222"/>
      <c r="L4" s="222"/>
      <c r="M4" s="222"/>
      <c r="N4" s="222"/>
      <c r="O4" s="222"/>
      <c r="P4" s="223"/>
    </row>
    <row r="5" spans="1:16" ht="37.950000000000003" customHeight="1" thickBot="1" x14ac:dyDescent="0.35">
      <c r="B5" s="57">
        <f>DOMINGO!D25</f>
        <v>10</v>
      </c>
      <c r="C5" s="58">
        <f>DOMINGO!C5</f>
        <v>4758</v>
      </c>
      <c r="D5" s="58">
        <f>DOMINGO!C8</f>
        <v>1.0305393112410657</v>
      </c>
      <c r="E5" s="58">
        <f>DOMINGO!M5</f>
        <v>475.8</v>
      </c>
      <c r="F5" s="59">
        <f>DOMINGO!M6</f>
        <v>0.10305393112410657</v>
      </c>
      <c r="G5" s="65"/>
      <c r="H5"/>
      <c r="I5" s="224"/>
      <c r="J5" s="225"/>
      <c r="K5" s="225"/>
      <c r="L5" s="225"/>
      <c r="M5" s="225"/>
      <c r="N5" s="225"/>
      <c r="O5" s="225"/>
      <c r="P5" s="226"/>
    </row>
    <row r="6" spans="1:16" ht="15" thickBot="1" x14ac:dyDescent="0.35"/>
    <row r="7" spans="1:16" ht="28.8" x14ac:dyDescent="0.3">
      <c r="B7" s="215" t="s">
        <v>65</v>
      </c>
      <c r="C7" s="210"/>
      <c r="D7" s="210"/>
      <c r="E7" s="210"/>
      <c r="F7" s="211"/>
      <c r="G7" s="64"/>
      <c r="I7" s="215" t="s">
        <v>66</v>
      </c>
      <c r="J7" s="210"/>
      <c r="K7" s="210"/>
      <c r="L7" s="210"/>
      <c r="M7" s="210"/>
      <c r="N7" s="210"/>
      <c r="O7" s="210"/>
      <c r="P7" s="211"/>
    </row>
    <row r="8" spans="1:16" ht="16.95" customHeight="1" thickBot="1" x14ac:dyDescent="0.35">
      <c r="B8" s="212"/>
      <c r="C8" s="213"/>
      <c r="D8" s="213"/>
      <c r="E8" s="213"/>
      <c r="F8" s="214"/>
      <c r="G8" s="64"/>
      <c r="I8" s="212"/>
      <c r="J8" s="213"/>
      <c r="K8" s="213"/>
      <c r="L8" s="213"/>
      <c r="M8" s="213"/>
      <c r="N8" s="213"/>
      <c r="O8" s="213"/>
      <c r="P8" s="214"/>
    </row>
    <row r="9" spans="1:16" ht="61.95" customHeight="1" x14ac:dyDescent="0.3">
      <c r="B9" s="200" t="s">
        <v>71</v>
      </c>
      <c r="C9" s="201"/>
      <c r="D9" s="201"/>
      <c r="E9" s="201"/>
      <c r="F9" s="201"/>
      <c r="G9" s="62"/>
      <c r="I9" s="216" t="s">
        <v>80</v>
      </c>
      <c r="J9" s="217"/>
      <c r="K9" s="217"/>
      <c r="L9" s="217"/>
      <c r="M9" s="217"/>
      <c r="N9" s="217"/>
      <c r="O9" s="217"/>
      <c r="P9" s="217"/>
    </row>
    <row r="10" spans="1:16" ht="49.95" customHeight="1" x14ac:dyDescent="0.3">
      <c r="B10" s="202" t="s">
        <v>78</v>
      </c>
      <c r="C10" s="203"/>
      <c r="D10" s="203"/>
      <c r="E10" s="203"/>
      <c r="F10" s="203"/>
      <c r="G10" s="61"/>
      <c r="I10" s="204" t="s">
        <v>72</v>
      </c>
      <c r="J10" s="204"/>
      <c r="K10" s="204"/>
      <c r="L10" s="204"/>
      <c r="M10" s="204"/>
      <c r="N10" s="204"/>
      <c r="O10" s="204"/>
      <c r="P10" s="204"/>
    </row>
    <row r="11" spans="1:16" ht="61.95" customHeight="1" x14ac:dyDescent="0.3">
      <c r="B11" s="202" t="s">
        <v>79</v>
      </c>
      <c r="C11" s="202"/>
      <c r="D11" s="202"/>
      <c r="E11" s="202"/>
      <c r="F11" s="202"/>
      <c r="I11" s="204" t="s">
        <v>81</v>
      </c>
      <c r="J11" s="204"/>
      <c r="K11" s="204"/>
      <c r="L11" s="204"/>
      <c r="M11" s="204"/>
      <c r="N11" s="204"/>
      <c r="O11" s="204"/>
      <c r="P11" s="204"/>
    </row>
    <row r="12" spans="1:16" ht="49.95" customHeight="1" x14ac:dyDescent="0.3">
      <c r="I12" s="204" t="s">
        <v>70</v>
      </c>
      <c r="J12" s="204"/>
      <c r="K12" s="204"/>
      <c r="L12" s="204"/>
      <c r="M12" s="204"/>
      <c r="N12" s="204"/>
      <c r="O12" s="204"/>
      <c r="P12" s="204"/>
    </row>
    <row r="13" spans="1:16" ht="49.95" customHeight="1" thickBot="1" x14ac:dyDescent="0.35">
      <c r="I13" s="204"/>
      <c r="J13" s="204"/>
      <c r="K13" s="204"/>
      <c r="L13" s="204"/>
      <c r="M13" s="204"/>
      <c r="N13" s="204"/>
      <c r="O13" s="204"/>
      <c r="P13" s="204"/>
    </row>
    <row r="14" spans="1:16" ht="15" customHeight="1" x14ac:dyDescent="0.3">
      <c r="B14" s="209" t="s">
        <v>98</v>
      </c>
      <c r="C14" s="210"/>
      <c r="D14" s="210"/>
      <c r="E14" s="210"/>
      <c r="F14" s="211"/>
      <c r="G14" s="64"/>
      <c r="I14" s="215" t="s">
        <v>67</v>
      </c>
      <c r="J14" s="210"/>
      <c r="K14" s="210"/>
      <c r="L14" s="210"/>
      <c r="M14" s="210"/>
      <c r="N14" s="210"/>
      <c r="O14" s="210"/>
      <c r="P14" s="211"/>
    </row>
    <row r="15" spans="1:16" ht="16.05" customHeight="1" thickBot="1" x14ac:dyDescent="0.35">
      <c r="B15" s="212"/>
      <c r="C15" s="213"/>
      <c r="D15" s="213"/>
      <c r="E15" s="213"/>
      <c r="F15" s="214"/>
      <c r="G15" s="64"/>
      <c r="I15" s="212"/>
      <c r="J15" s="213"/>
      <c r="K15" s="213"/>
      <c r="L15" s="213"/>
      <c r="M15" s="213"/>
      <c r="N15" s="213"/>
      <c r="O15" s="213"/>
      <c r="P15" s="214"/>
    </row>
    <row r="16" spans="1:16" ht="46.05" customHeight="1" x14ac:dyDescent="0.3">
      <c r="B16" s="207" t="s">
        <v>87</v>
      </c>
      <c r="C16" s="208"/>
      <c r="D16" s="208"/>
      <c r="E16" s="208"/>
      <c r="F16" s="208"/>
      <c r="I16" s="189" t="s">
        <v>101</v>
      </c>
      <c r="J16" s="190"/>
      <c r="K16" s="60"/>
      <c r="L16" s="189" t="s">
        <v>104</v>
      </c>
      <c r="M16" s="190"/>
      <c r="N16" s="60"/>
      <c r="O16" s="189" t="s">
        <v>117</v>
      </c>
      <c r="P16" s="190"/>
    </row>
    <row r="17" spans="1:16" ht="54" customHeight="1" x14ac:dyDescent="0.3">
      <c r="B17" s="206" t="s">
        <v>88</v>
      </c>
      <c r="C17" s="205"/>
      <c r="D17" s="205"/>
      <c r="E17" s="205"/>
      <c r="F17" s="205"/>
      <c r="I17" s="184" t="s">
        <v>102</v>
      </c>
      <c r="J17" s="185"/>
      <c r="K17" s="63"/>
      <c r="L17" s="184" t="s">
        <v>105</v>
      </c>
      <c r="M17" s="185"/>
      <c r="N17" s="63"/>
      <c r="O17" s="184" t="s">
        <v>118</v>
      </c>
      <c r="P17" s="185"/>
    </row>
    <row r="18" spans="1:16" ht="46.05" customHeight="1" x14ac:dyDescent="0.3">
      <c r="B18" s="206" t="s">
        <v>89</v>
      </c>
      <c r="C18" s="205"/>
      <c r="D18" s="205"/>
      <c r="E18" s="205"/>
      <c r="F18" s="205"/>
      <c r="I18" s="182" t="s">
        <v>106</v>
      </c>
      <c r="J18" s="183"/>
      <c r="K18" s="66"/>
      <c r="L18" s="182" t="s">
        <v>110</v>
      </c>
      <c r="M18" s="183"/>
      <c r="N18" s="66"/>
      <c r="O18" s="186" t="s">
        <v>119</v>
      </c>
      <c r="P18" s="183"/>
    </row>
    <row r="19" spans="1:16" ht="46.05" customHeight="1" x14ac:dyDescent="0.3">
      <c r="B19" s="206" t="s">
        <v>90</v>
      </c>
      <c r="C19" s="205"/>
      <c r="D19" s="205"/>
      <c r="E19" s="205"/>
      <c r="F19" s="205"/>
      <c r="I19" s="182" t="s">
        <v>103</v>
      </c>
      <c r="J19" s="183"/>
      <c r="K19" s="66"/>
      <c r="L19" s="187" t="s">
        <v>111</v>
      </c>
      <c r="M19" s="187"/>
      <c r="N19" s="66"/>
      <c r="O19" s="182" t="s">
        <v>120</v>
      </c>
      <c r="P19" s="183"/>
    </row>
    <row r="20" spans="1:16" ht="46.05" customHeight="1" x14ac:dyDescent="0.3">
      <c r="B20" s="204" t="s">
        <v>74</v>
      </c>
      <c r="C20" s="205"/>
      <c r="D20" s="205"/>
      <c r="E20" s="205"/>
      <c r="F20" s="205"/>
      <c r="I20" s="182" t="s">
        <v>107</v>
      </c>
      <c r="J20" s="183"/>
      <c r="K20" s="66"/>
      <c r="L20" s="182" t="s">
        <v>112</v>
      </c>
      <c r="M20" s="183"/>
      <c r="N20" s="66"/>
      <c r="O20" s="182" t="s">
        <v>121</v>
      </c>
      <c r="P20" s="183"/>
    </row>
    <row r="21" spans="1:16" ht="46.05" customHeight="1" x14ac:dyDescent="0.3">
      <c r="I21" s="182" t="s">
        <v>108</v>
      </c>
      <c r="J21" s="183"/>
      <c r="K21" s="66"/>
      <c r="L21" s="182" t="s">
        <v>113</v>
      </c>
      <c r="M21" s="183"/>
      <c r="N21" s="66"/>
      <c r="O21" s="182" t="s">
        <v>122</v>
      </c>
      <c r="P21" s="183"/>
    </row>
    <row r="22" spans="1:16" ht="46.05" customHeight="1" x14ac:dyDescent="0.3">
      <c r="I22" s="182" t="s">
        <v>109</v>
      </c>
      <c r="J22" s="183"/>
      <c r="K22" s="66"/>
      <c r="L22" s="188" t="s">
        <v>114</v>
      </c>
      <c r="M22" s="188"/>
      <c r="N22" s="67"/>
      <c r="O22" s="182" t="s">
        <v>123</v>
      </c>
      <c r="P22" s="183"/>
    </row>
    <row r="23" spans="1:16" ht="46.05" customHeight="1" x14ac:dyDescent="0.3">
      <c r="K23" s="66"/>
      <c r="L23" s="182" t="s">
        <v>115</v>
      </c>
      <c r="M23" s="183"/>
      <c r="N23" s="66"/>
      <c r="O23" s="182" t="s">
        <v>124</v>
      </c>
      <c r="P23" s="183"/>
    </row>
    <row r="24" spans="1:16" ht="46.05" customHeight="1" x14ac:dyDescent="0.3">
      <c r="L24" s="182" t="s">
        <v>116</v>
      </c>
      <c r="M24" s="183"/>
      <c r="N24" s="66"/>
    </row>
    <row r="25" spans="1:16" ht="46.05" customHeight="1" thickBot="1" x14ac:dyDescent="0.35"/>
    <row r="26" spans="1:16" ht="29.4" thickBot="1" x14ac:dyDescent="0.35">
      <c r="A26" s="191" t="s">
        <v>68</v>
      </c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3"/>
    </row>
    <row r="27" spans="1:16" ht="127.95" customHeight="1" thickBot="1" x14ac:dyDescent="0.35">
      <c r="A27" s="194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6"/>
    </row>
    <row r="28" spans="1:16" ht="15" thickBot="1" x14ac:dyDescent="0.35"/>
    <row r="29" spans="1:16" ht="29.4" thickBot="1" x14ac:dyDescent="0.35">
      <c r="A29" s="191" t="s">
        <v>69</v>
      </c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3"/>
    </row>
    <row r="30" spans="1:16" ht="127.95" customHeight="1" thickBot="1" x14ac:dyDescent="0.35">
      <c r="A30" s="197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9"/>
    </row>
    <row r="31" spans="1:16" x14ac:dyDescent="0.3"/>
    <row r="32" spans="1:16" x14ac:dyDescent="0.3"/>
  </sheetData>
  <mergeCells count="48">
    <mergeCell ref="B1:E1"/>
    <mergeCell ref="O1:P1"/>
    <mergeCell ref="A2:P2"/>
    <mergeCell ref="I4:P5"/>
    <mergeCell ref="I7:P8"/>
    <mergeCell ref="B7:F8"/>
    <mergeCell ref="B14:F15"/>
    <mergeCell ref="I14:P15"/>
    <mergeCell ref="I9:P9"/>
    <mergeCell ref="I10:P10"/>
    <mergeCell ref="I11:P11"/>
    <mergeCell ref="A26:P26"/>
    <mergeCell ref="A27:P27"/>
    <mergeCell ref="A29:P29"/>
    <mergeCell ref="A30:P30"/>
    <mergeCell ref="B9:F9"/>
    <mergeCell ref="B10:F10"/>
    <mergeCell ref="B11:F11"/>
    <mergeCell ref="I18:J18"/>
    <mergeCell ref="I12:P13"/>
    <mergeCell ref="B20:F20"/>
    <mergeCell ref="B19:F19"/>
    <mergeCell ref="B18:F18"/>
    <mergeCell ref="B17:F17"/>
    <mergeCell ref="B16:F16"/>
    <mergeCell ref="I16:J16"/>
    <mergeCell ref="L16:M16"/>
    <mergeCell ref="O16:P16"/>
    <mergeCell ref="I17:J17"/>
    <mergeCell ref="I22:J22"/>
    <mergeCell ref="I21:J21"/>
    <mergeCell ref="I20:J20"/>
    <mergeCell ref="I19:J19"/>
    <mergeCell ref="L24:M24"/>
    <mergeCell ref="L23:M23"/>
    <mergeCell ref="O17:P17"/>
    <mergeCell ref="O18:P18"/>
    <mergeCell ref="O19:P19"/>
    <mergeCell ref="O20:P20"/>
    <mergeCell ref="O21:P21"/>
    <mergeCell ref="O22:P22"/>
    <mergeCell ref="O23:P23"/>
    <mergeCell ref="L17:M17"/>
    <mergeCell ref="L18:M18"/>
    <mergeCell ref="L19:M19"/>
    <mergeCell ref="L20:M20"/>
    <mergeCell ref="L21:M21"/>
    <mergeCell ref="L22:M22"/>
  </mergeCells>
  <pageMargins left="0.7" right="0.7" top="0.75" bottom="0.75" header="0.3" footer="0.3"/>
  <pageSetup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02E0E-6C72-1940-8D05-B2AC56351D19}">
  <sheetPr>
    <tabColor theme="5" tint="0.39997558519241921"/>
    <pageSetUpPr fitToPage="1"/>
  </sheetPr>
  <dimension ref="A1:S53"/>
  <sheetViews>
    <sheetView showGridLines="0" zoomScale="70" zoomScaleNormal="70" workbookViewId="0">
      <selection activeCell="O33" activeCellId="1" sqref="J33:M35 O33:P36"/>
    </sheetView>
  </sheetViews>
  <sheetFormatPr baseColWidth="10" defaultColWidth="0" defaultRowHeight="15" customHeight="1" zeroHeight="1" x14ac:dyDescent="0.3"/>
  <cols>
    <col min="1" max="1" width="8.77734375" style="27" customWidth="1"/>
    <col min="2" max="2" width="14.6640625" style="27" customWidth="1"/>
    <col min="3" max="3" width="24.6640625" style="27" bestFit="1" customWidth="1"/>
    <col min="4" max="4" width="17.77734375" style="27" bestFit="1" customWidth="1"/>
    <col min="5" max="5" width="27.109375" style="27" customWidth="1"/>
    <col min="6" max="6" width="12.33203125" style="27" bestFit="1" customWidth="1"/>
    <col min="7" max="7" width="13.109375" style="27" bestFit="1" customWidth="1"/>
    <col min="8" max="8" width="19.109375" style="27" bestFit="1" customWidth="1"/>
    <col min="9" max="9" width="23.6640625" style="27" bestFit="1" customWidth="1"/>
    <col min="10" max="10" width="13" style="27" customWidth="1"/>
    <col min="11" max="11" width="16.6640625" style="27" bestFit="1" customWidth="1"/>
    <col min="12" max="12" width="23.33203125" style="27" bestFit="1" customWidth="1"/>
    <col min="13" max="13" width="17.33203125" style="27" bestFit="1" customWidth="1"/>
    <col min="14" max="14" width="17.33203125" style="27" customWidth="1"/>
    <col min="15" max="15" width="10.77734375" style="27" customWidth="1"/>
    <col min="16" max="16" width="39.33203125" style="27" bestFit="1" customWidth="1"/>
    <col min="17" max="17" width="4.109375" style="38" bestFit="1" customWidth="1"/>
    <col min="18" max="18" width="18" bestFit="1" customWidth="1"/>
    <col min="19" max="19" width="8.77734375" customWidth="1"/>
    <col min="20" max="16384" width="8.77734375" hidden="1"/>
  </cols>
  <sheetData>
    <row r="1" spans="1:18" ht="98.25" customHeight="1" thickBot="1" x14ac:dyDescent="0.35">
      <c r="C1" s="139" t="s">
        <v>12</v>
      </c>
      <c r="D1" s="139"/>
      <c r="E1" s="139"/>
      <c r="G1" s="18"/>
      <c r="H1" s="18" t="s">
        <v>13</v>
      </c>
      <c r="I1" s="117">
        <v>29</v>
      </c>
      <c r="J1" s="19" t="s">
        <v>14</v>
      </c>
      <c r="K1" s="118"/>
      <c r="L1" s="19" t="s">
        <v>76</v>
      </c>
      <c r="M1" s="134" t="s">
        <v>126</v>
      </c>
      <c r="N1" s="118"/>
      <c r="P1" s="68" t="s">
        <v>56</v>
      </c>
      <c r="Q1" s="27"/>
    </row>
    <row r="2" spans="1:18" ht="51.75" customHeight="1" thickBot="1" x14ac:dyDescent="0.35">
      <c r="A2" s="144" t="s">
        <v>15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6"/>
    </row>
    <row r="3" spans="1:18" thickBot="1" x14ac:dyDescent="0.35">
      <c r="Q3" s="27"/>
    </row>
    <row r="4" spans="1:18" s="1" customFormat="1" ht="46.05" customHeight="1" thickBot="1" x14ac:dyDescent="0.35">
      <c r="A4" s="28"/>
      <c r="B4" s="140" t="s">
        <v>16</v>
      </c>
      <c r="C4" s="141"/>
      <c r="D4" s="28"/>
      <c r="E4" s="142" t="s">
        <v>19</v>
      </c>
      <c r="F4" s="143"/>
      <c r="G4" s="28"/>
      <c r="H4" s="140" t="s">
        <v>22</v>
      </c>
      <c r="I4" s="141"/>
      <c r="J4" s="3" t="s">
        <v>23</v>
      </c>
      <c r="K4" s="28"/>
      <c r="L4" s="140" t="s">
        <v>24</v>
      </c>
      <c r="M4" s="141"/>
      <c r="N4" s="28"/>
      <c r="O4" s="28"/>
      <c r="P4" s="161" t="s">
        <v>125</v>
      </c>
      <c r="Q4" s="28"/>
    </row>
    <row r="5" spans="1:18" ht="46.05" customHeight="1" x14ac:dyDescent="0.3">
      <c r="B5" s="20" t="s">
        <v>82</v>
      </c>
      <c r="C5" s="93"/>
      <c r="E5" s="21" t="s">
        <v>55</v>
      </c>
      <c r="F5" s="96"/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0</v>
      </c>
      <c r="P5" s="161"/>
      <c r="Q5" s="27"/>
    </row>
    <row r="6" spans="1:18" ht="46.05" customHeight="1" thickBot="1" x14ac:dyDescent="0.35">
      <c r="B6" s="39" t="s">
        <v>17</v>
      </c>
      <c r="C6" s="109">
        <f>C5*0.85</f>
        <v>0</v>
      </c>
      <c r="E6" s="5" t="s">
        <v>20</v>
      </c>
      <c r="F6" s="97"/>
      <c r="H6" s="22" t="s">
        <v>4</v>
      </c>
      <c r="I6" s="101">
        <v>0.05</v>
      </c>
      <c r="J6" s="100" t="e">
        <f>IF(+C8*I6&lt;1,1,C8*I6)</f>
        <v>#DIV/0!</v>
      </c>
      <c r="L6" s="6" t="s">
        <v>23</v>
      </c>
      <c r="M6" s="105" t="e">
        <f>C8/D25</f>
        <v>#DIV/0!</v>
      </c>
      <c r="P6" s="16" t="s">
        <v>2</v>
      </c>
      <c r="Q6" s="27"/>
    </row>
    <row r="7" spans="1:18" ht="46.05" customHeight="1" thickBot="1" x14ac:dyDescent="0.35">
      <c r="B7" s="40" t="s">
        <v>3</v>
      </c>
      <c r="C7" s="109">
        <f>+C5*0.15</f>
        <v>0</v>
      </c>
      <c r="E7" s="5" t="s">
        <v>21</v>
      </c>
      <c r="F7" s="94">
        <f>+F5*F6</f>
        <v>0</v>
      </c>
      <c r="H7" s="23" t="s">
        <v>5</v>
      </c>
      <c r="I7" s="102">
        <v>0.3</v>
      </c>
      <c r="J7" s="103" t="e">
        <f>IF(C8*I7&lt;1,1,C8*I7)</f>
        <v>#DIV/0!</v>
      </c>
      <c r="P7" s="107"/>
      <c r="Q7" s="27"/>
    </row>
    <row r="8" spans="1:18" ht="46.05" customHeight="1" thickBot="1" x14ac:dyDescent="0.35">
      <c r="B8" s="24" t="s">
        <v>18</v>
      </c>
      <c r="C8" s="95" t="e">
        <f>+C5/P9</f>
        <v>#DIV/0!</v>
      </c>
      <c r="E8" s="25" t="s">
        <v>83</v>
      </c>
      <c r="F8" s="98">
        <f>+C5*1.1</f>
        <v>0</v>
      </c>
      <c r="H8" s="29"/>
      <c r="I8" s="172" t="s">
        <v>77</v>
      </c>
      <c r="J8" s="173"/>
      <c r="L8" s="140" t="s">
        <v>57</v>
      </c>
      <c r="M8" s="141"/>
      <c r="P8" s="17" t="s">
        <v>6</v>
      </c>
      <c r="Q8" s="27"/>
    </row>
    <row r="9" spans="1:18" ht="46.05" customHeight="1" thickBot="1" x14ac:dyDescent="0.35">
      <c r="C9"/>
      <c r="E9" s="172" t="s">
        <v>91</v>
      </c>
      <c r="F9" s="173"/>
      <c r="H9"/>
      <c r="I9"/>
      <c r="J9" s="30"/>
      <c r="L9" s="4" t="s">
        <v>75</v>
      </c>
      <c r="M9" s="106"/>
      <c r="P9" s="108"/>
      <c r="Q9" s="27"/>
    </row>
    <row r="10" spans="1:18" ht="46.05" customHeight="1" thickBot="1" x14ac:dyDescent="0.35">
      <c r="B10" s="28"/>
      <c r="C10" s="28"/>
      <c r="J10"/>
      <c r="P10" s="181" t="s">
        <v>26</v>
      </c>
      <c r="Q10" s="27"/>
    </row>
    <row r="11" spans="1:18" ht="46.05" customHeight="1" thickBot="1" x14ac:dyDescent="0.35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69"/>
      <c r="J11" s="169"/>
      <c r="K11" s="169"/>
      <c r="L11" s="169"/>
      <c r="M11" s="169"/>
      <c r="N11" s="119"/>
      <c r="P11" s="181"/>
      <c r="Q11" s="27"/>
    </row>
    <row r="12" spans="1:18" ht="46.05" customHeight="1" thickBot="1" x14ac:dyDescent="0.35">
      <c r="B12" s="42" t="s">
        <v>27</v>
      </c>
      <c r="C12" s="69"/>
      <c r="D12" s="70"/>
      <c r="E12" s="70"/>
      <c r="F12" s="70"/>
      <c r="G12" s="85"/>
      <c r="H12" s="86">
        <f>SUM(C12:G12)</f>
        <v>0</v>
      </c>
      <c r="I12" s="169"/>
      <c r="J12" s="169"/>
      <c r="K12" s="169"/>
      <c r="L12" s="169"/>
      <c r="M12" s="169"/>
      <c r="N12" s="119"/>
      <c r="O12"/>
      <c r="P12" s="16" t="s">
        <v>2</v>
      </c>
      <c r="Q12" s="27"/>
    </row>
    <row r="13" spans="1:18" ht="46.05" customHeight="1" thickBot="1" x14ac:dyDescent="0.35">
      <c r="B13" s="43" t="s">
        <v>28</v>
      </c>
      <c r="C13" s="87" t="e">
        <f>+C12/$H$12</f>
        <v>#DIV/0!</v>
      </c>
      <c r="D13" s="88" t="e">
        <f>+D12/$H$12</f>
        <v>#DIV/0!</v>
      </c>
      <c r="E13" s="88" t="e">
        <f>+E12/$H$12</f>
        <v>#DIV/0!</v>
      </c>
      <c r="F13" s="88" t="e">
        <f>+F12/$H$12</f>
        <v>#DIV/0!</v>
      </c>
      <c r="G13" s="88" t="e">
        <f>+G12/$H$12</f>
        <v>#DIV/0!</v>
      </c>
      <c r="H13" s="89"/>
      <c r="I13" s="169"/>
      <c r="J13" s="169"/>
      <c r="K13" s="169"/>
      <c r="L13" s="169"/>
      <c r="M13" s="169"/>
      <c r="N13" s="119"/>
      <c r="P13" s="107"/>
      <c r="Q13" s="27"/>
    </row>
    <row r="14" spans="1:18" ht="46.05" customHeight="1" thickBot="1" x14ac:dyDescent="0.35">
      <c r="B14" s="44" t="s">
        <v>29</v>
      </c>
      <c r="C14" s="90" t="e">
        <f>+C13*$C$5</f>
        <v>#DIV/0!</v>
      </c>
      <c r="D14" s="91" t="e">
        <f t="shared" ref="D14:G14" si="0">+D13*$C$5</f>
        <v>#DIV/0!</v>
      </c>
      <c r="E14" s="91" t="e">
        <f t="shared" si="0"/>
        <v>#DIV/0!</v>
      </c>
      <c r="F14" s="91" t="e">
        <f t="shared" si="0"/>
        <v>#DIV/0!</v>
      </c>
      <c r="G14" s="91" t="e">
        <f t="shared" si="0"/>
        <v>#DIV/0!</v>
      </c>
      <c r="H14" s="92" t="e">
        <f>+SUM(C14:G14)</f>
        <v>#DIV/0!</v>
      </c>
      <c r="I14" s="169"/>
      <c r="J14" s="169"/>
      <c r="K14" s="169"/>
      <c r="L14" s="169"/>
      <c r="M14" s="169"/>
      <c r="N14" s="119"/>
      <c r="P14" s="17" t="s">
        <v>6</v>
      </c>
      <c r="Q14" s="27"/>
    </row>
    <row r="15" spans="1:18" ht="35.25" customHeight="1" thickBot="1" x14ac:dyDescent="0.35">
      <c r="D15" s="28"/>
      <c r="E15" s="28"/>
      <c r="F15" s="28"/>
      <c r="G15" s="28"/>
      <c r="H15" s="28"/>
      <c r="I15" s="28"/>
      <c r="J15" s="28"/>
      <c r="K15" s="28"/>
      <c r="L15" s="28"/>
      <c r="P15" s="108"/>
      <c r="Q15" s="27"/>
    </row>
    <row r="16" spans="1:18" s="1" customFormat="1" ht="46.05" customHeight="1" thickBot="1" x14ac:dyDescent="0.35">
      <c r="A16" s="28"/>
      <c r="B16" s="163" t="s">
        <v>33</v>
      </c>
      <c r="C16" s="16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62" t="s">
        <v>97</v>
      </c>
      <c r="M16" s="162"/>
      <c r="N16" s="162"/>
      <c r="O16" s="162"/>
      <c r="P16" s="32"/>
      <c r="Q16" s="27"/>
      <c r="R16"/>
    </row>
    <row r="17" spans="1:19" s="26" customFormat="1" ht="46.05" customHeight="1" x14ac:dyDescent="0.3">
      <c r="A17" s="33"/>
      <c r="B17" s="165" t="s">
        <v>93</v>
      </c>
      <c r="C17" s="166"/>
      <c r="D17" s="132">
        <v>3.5</v>
      </c>
      <c r="E17" s="72">
        <f t="shared" ref="E17:E24" si="1">($C$5/$D$25)*D17</f>
        <v>0</v>
      </c>
      <c r="F17" s="73" t="e">
        <f t="shared" ref="F17:F24" si="2">IF((($C$8-$J$5)/$D$25)*D17&lt;1,1,((($C$8-$J$5)/$D$25)*D17))</f>
        <v>#DIV/0!</v>
      </c>
      <c r="G17" s="123"/>
      <c r="H17" s="74" t="e">
        <f t="shared" ref="H17:H24" si="3">IF(D17&gt;0,MAX(($J$6/$D$25)*D17,1),0)</f>
        <v>#DIV/0!</v>
      </c>
      <c r="I17" s="75" t="e">
        <f t="shared" ref="I17:I24" si="4">IF(D17&gt;0,MAX(($J$7/$D$25)*D17,1),0)</f>
        <v>#DIV/0!</v>
      </c>
      <c r="J17" s="34"/>
      <c r="K17" s="28"/>
      <c r="L17" s="162"/>
      <c r="M17" s="162"/>
      <c r="N17" s="162"/>
      <c r="O17" s="162"/>
      <c r="P17" s="32"/>
      <c r="Q17" s="27"/>
      <c r="R17"/>
    </row>
    <row r="18" spans="1:19" s="26" customFormat="1" ht="46.05" customHeight="1" x14ac:dyDescent="0.3">
      <c r="A18" s="33"/>
      <c r="B18" s="167" t="s">
        <v>94</v>
      </c>
      <c r="C18" s="168"/>
      <c r="D18" s="71">
        <v>7</v>
      </c>
      <c r="E18" s="76">
        <f t="shared" si="1"/>
        <v>0</v>
      </c>
      <c r="F18" s="77" t="e">
        <f t="shared" si="2"/>
        <v>#DIV/0!</v>
      </c>
      <c r="G18" s="124"/>
      <c r="H18" s="78" t="e">
        <f t="shared" si="3"/>
        <v>#DIV/0!</v>
      </c>
      <c r="I18" s="79" t="e">
        <f t="shared" si="4"/>
        <v>#DIV/0!</v>
      </c>
      <c r="J18" s="34"/>
      <c r="K18" s="28"/>
      <c r="L18" s="162"/>
      <c r="M18" s="162"/>
      <c r="N18" s="162"/>
      <c r="O18" s="162"/>
      <c r="P18" s="32"/>
      <c r="Q18" s="27"/>
      <c r="R18"/>
    </row>
    <row r="19" spans="1:19" s="26" customFormat="1" ht="46.05" customHeight="1" x14ac:dyDescent="0.3">
      <c r="A19" s="33"/>
      <c r="B19" s="167" t="s">
        <v>95</v>
      </c>
      <c r="C19" s="168"/>
      <c r="D19" s="71">
        <v>7</v>
      </c>
      <c r="E19" s="76">
        <f t="shared" si="1"/>
        <v>0</v>
      </c>
      <c r="F19" s="77" t="e">
        <f t="shared" si="2"/>
        <v>#DIV/0!</v>
      </c>
      <c r="G19" s="124"/>
      <c r="H19" s="78" t="e">
        <f t="shared" si="3"/>
        <v>#DIV/0!</v>
      </c>
      <c r="I19" s="79" t="e">
        <f t="shared" si="4"/>
        <v>#DIV/0!</v>
      </c>
      <c r="J19" s="34"/>
      <c r="K19" s="28"/>
      <c r="L19" s="162"/>
      <c r="M19" s="162"/>
      <c r="N19" s="162"/>
      <c r="O19" s="162"/>
      <c r="P19" s="32"/>
      <c r="Q19" s="27"/>
      <c r="R19"/>
    </row>
    <row r="20" spans="1:19" s="26" customFormat="1" ht="46.05" customHeight="1" x14ac:dyDescent="0.3">
      <c r="A20" s="33"/>
      <c r="B20" s="167" t="s">
        <v>96</v>
      </c>
      <c r="C20" s="168"/>
      <c r="D20" s="71">
        <v>7</v>
      </c>
      <c r="E20" s="76">
        <f t="shared" si="1"/>
        <v>0</v>
      </c>
      <c r="F20" s="77" t="e">
        <f t="shared" si="2"/>
        <v>#DIV/0!</v>
      </c>
      <c r="G20" s="124"/>
      <c r="H20" s="78" t="e">
        <f t="shared" si="3"/>
        <v>#DIV/0!</v>
      </c>
      <c r="I20" s="79" t="e">
        <f t="shared" si="4"/>
        <v>#DIV/0!</v>
      </c>
      <c r="J20" s="34"/>
      <c r="K20" s="28"/>
      <c r="L20" s="162"/>
      <c r="M20" s="162"/>
      <c r="N20" s="162"/>
      <c r="O20" s="162"/>
      <c r="P20" s="32"/>
      <c r="Q20" s="27"/>
      <c r="R20"/>
    </row>
    <row r="21" spans="1:19" s="26" customFormat="1" ht="46.05" customHeight="1" x14ac:dyDescent="0.3">
      <c r="A21" s="33"/>
      <c r="B21" s="167"/>
      <c r="C21" s="168"/>
      <c r="D21" s="71"/>
      <c r="E21" s="76">
        <f t="shared" si="1"/>
        <v>0</v>
      </c>
      <c r="F21" s="77" t="e">
        <f t="shared" si="2"/>
        <v>#DIV/0!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62"/>
      <c r="M21" s="162"/>
      <c r="N21" s="162"/>
      <c r="O21" s="162"/>
      <c r="P21" s="32"/>
      <c r="Q21" s="27"/>
      <c r="R21"/>
    </row>
    <row r="22" spans="1:19" s="26" customFormat="1" ht="46.05" customHeight="1" x14ac:dyDescent="0.3">
      <c r="A22" s="33"/>
      <c r="B22" s="167"/>
      <c r="C22" s="168"/>
      <c r="D22" s="71"/>
      <c r="E22" s="76">
        <f t="shared" si="1"/>
        <v>0</v>
      </c>
      <c r="F22" s="77" t="e">
        <f t="shared" si="2"/>
        <v>#DIV/0!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62"/>
      <c r="M22" s="162"/>
      <c r="N22" s="162"/>
      <c r="O22" s="162"/>
      <c r="P22" s="32"/>
      <c r="Q22" s="27"/>
      <c r="R22"/>
    </row>
    <row r="23" spans="1:19" s="26" customFormat="1" ht="46.05" customHeight="1" x14ac:dyDescent="0.3">
      <c r="A23" s="33"/>
      <c r="B23" s="170"/>
      <c r="C23" s="171"/>
      <c r="D23" s="10"/>
      <c r="E23" s="76">
        <f t="shared" si="1"/>
        <v>0</v>
      </c>
      <c r="F23" s="77" t="e">
        <f t="shared" si="2"/>
        <v>#DIV/0!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62"/>
      <c r="M23" s="162"/>
      <c r="N23" s="162"/>
      <c r="O23" s="162"/>
      <c r="P23" s="32"/>
      <c r="Q23" s="27"/>
      <c r="R23"/>
    </row>
    <row r="24" spans="1:19" s="26" customFormat="1" ht="46.05" customHeight="1" thickBot="1" x14ac:dyDescent="0.35">
      <c r="A24" s="33"/>
      <c r="B24" s="170"/>
      <c r="C24" s="171"/>
      <c r="D24" s="10"/>
      <c r="E24" s="76">
        <f t="shared" si="1"/>
        <v>0</v>
      </c>
      <c r="F24" s="77" t="e">
        <f t="shared" si="2"/>
        <v>#DIV/0!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62"/>
      <c r="M24" s="162"/>
      <c r="N24" s="162"/>
      <c r="O24" s="162"/>
      <c r="P24" s="32"/>
      <c r="Q24" s="27"/>
      <c r="R24"/>
    </row>
    <row r="25" spans="1:19" s="26" customFormat="1" ht="46.05" customHeight="1" thickBot="1" x14ac:dyDescent="0.35">
      <c r="A25" s="33"/>
      <c r="B25" s="174" t="s">
        <v>0</v>
      </c>
      <c r="C25" s="175" t="s">
        <v>0</v>
      </c>
      <c r="D25" s="84">
        <f>+SUM(D17:D24)</f>
        <v>24.5</v>
      </c>
      <c r="E25" s="80">
        <f>SUM(E17:E24)</f>
        <v>0</v>
      </c>
      <c r="F25" s="81" t="e">
        <f>SUM(F17:F24)</f>
        <v>#DIV/0!</v>
      </c>
      <c r="G25" s="81">
        <f>SUM(G17:G24)</f>
        <v>0</v>
      </c>
      <c r="H25" s="82" t="e">
        <f>+J6</f>
        <v>#DIV/0!</v>
      </c>
      <c r="I25" s="83" t="e">
        <f>+J7</f>
        <v>#DIV/0!</v>
      </c>
      <c r="J25" s="35"/>
      <c r="K25" s="28"/>
      <c r="L25" s="162"/>
      <c r="M25" s="162"/>
      <c r="N25" s="162"/>
      <c r="O25" s="162"/>
      <c r="P25" s="32"/>
      <c r="Q25" s="27"/>
      <c r="R25"/>
    </row>
    <row r="26" spans="1:19" ht="56.55" customHeight="1" thickBot="1" x14ac:dyDescent="0.35">
      <c r="F26" s="28"/>
      <c r="Q26" s="27"/>
    </row>
    <row r="27" spans="1:19" ht="62.25" customHeight="1" thickBot="1" x14ac:dyDescent="0.35">
      <c r="A27" s="144" t="s">
        <v>39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6"/>
    </row>
    <row r="28" spans="1:19" ht="15.45" customHeight="1" thickBot="1" x14ac:dyDescent="0.35">
      <c r="Q28" s="27"/>
    </row>
    <row r="29" spans="1:19" ht="31.8" thickBot="1" x14ac:dyDescent="0.35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 x14ac:dyDescent="0.35">
      <c r="A30" s="33"/>
      <c r="B30" s="158" t="s">
        <v>46</v>
      </c>
      <c r="C30" s="159" t="s">
        <v>0</v>
      </c>
      <c r="D30" s="115">
        <f>+C5</f>
        <v>0</v>
      </c>
      <c r="E30" s="116">
        <v>25600</v>
      </c>
      <c r="F30" s="115" t="e">
        <f>+C8</f>
        <v>#DIV/0!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5" customHeight="1" thickBot="1" x14ac:dyDescent="0.35">
      <c r="Q31" s="27"/>
    </row>
    <row r="32" spans="1:19" s="1" customFormat="1" ht="58.05" customHeight="1" thickBot="1" x14ac:dyDescent="0.35">
      <c r="A32" s="28"/>
      <c r="B32" s="163" t="s">
        <v>47</v>
      </c>
      <c r="C32" s="164"/>
      <c r="D32" s="14" t="s">
        <v>34</v>
      </c>
      <c r="E32" s="152" t="s">
        <v>48</v>
      </c>
      <c r="F32" s="153"/>
      <c r="G32" s="154" t="s">
        <v>49</v>
      </c>
      <c r="H32" s="155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05" customHeight="1" x14ac:dyDescent="0.3">
      <c r="A33" s="33"/>
      <c r="B33" s="179" t="str">
        <f t="shared" ref="B33:B40" si="5">B17</f>
        <v>ELIAS</v>
      </c>
      <c r="C33" s="180"/>
      <c r="D33" s="133">
        <f t="shared" ref="D33:D40" si="6">D17</f>
        <v>3.5</v>
      </c>
      <c r="E33" s="160"/>
      <c r="F33" s="160"/>
      <c r="G33" s="156"/>
      <c r="H33" s="157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05" customHeight="1" x14ac:dyDescent="0.3">
      <c r="A34" s="33"/>
      <c r="B34" s="150" t="str">
        <f t="shared" si="5"/>
        <v>CATALINA</v>
      </c>
      <c r="C34" s="151"/>
      <c r="D34" s="112">
        <f t="shared" si="6"/>
        <v>7</v>
      </c>
      <c r="E34" s="147"/>
      <c r="F34" s="147"/>
      <c r="G34" s="148"/>
      <c r="H34" s="149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05" customHeight="1" x14ac:dyDescent="0.3">
      <c r="A35" s="33"/>
      <c r="B35" s="150" t="str">
        <f t="shared" si="5"/>
        <v>VICTOR</v>
      </c>
      <c r="C35" s="151"/>
      <c r="D35" s="112">
        <f t="shared" si="6"/>
        <v>7</v>
      </c>
      <c r="E35" s="147"/>
      <c r="F35" s="147"/>
      <c r="G35" s="148"/>
      <c r="H35" s="149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05" customHeight="1" x14ac:dyDescent="0.3">
      <c r="A36" s="33"/>
      <c r="B36" s="150" t="str">
        <f t="shared" si="5"/>
        <v>JIMENA</v>
      </c>
      <c r="C36" s="151"/>
      <c r="D36" s="112">
        <f t="shared" si="6"/>
        <v>7</v>
      </c>
      <c r="E36" s="147"/>
      <c r="F36" s="147"/>
      <c r="G36" s="148"/>
      <c r="H36" s="149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05" customHeight="1" x14ac:dyDescent="0.3">
      <c r="A37" s="33"/>
      <c r="B37" s="150">
        <f t="shared" si="5"/>
        <v>0</v>
      </c>
      <c r="C37" s="151"/>
      <c r="D37" s="112">
        <f t="shared" si="6"/>
        <v>0</v>
      </c>
      <c r="E37" s="147"/>
      <c r="F37" s="147"/>
      <c r="G37" s="148"/>
      <c r="H37" s="149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05" customHeight="1" x14ac:dyDescent="0.3">
      <c r="A38" s="33"/>
      <c r="B38" s="150">
        <f t="shared" si="5"/>
        <v>0</v>
      </c>
      <c r="C38" s="151"/>
      <c r="D38" s="112">
        <f t="shared" si="6"/>
        <v>0</v>
      </c>
      <c r="E38" s="147"/>
      <c r="F38" s="147"/>
      <c r="G38" s="148"/>
      <c r="H38" s="149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05" customHeight="1" x14ac:dyDescent="0.3">
      <c r="A39" s="33"/>
      <c r="B39" s="150">
        <f t="shared" si="5"/>
        <v>0</v>
      </c>
      <c r="C39" s="151"/>
      <c r="D39" s="112">
        <f t="shared" si="6"/>
        <v>0</v>
      </c>
      <c r="E39" s="147"/>
      <c r="F39" s="147"/>
      <c r="G39" s="148"/>
      <c r="H39" s="149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05" customHeight="1" x14ac:dyDescent="0.3">
      <c r="A40" s="33"/>
      <c r="B40" s="150">
        <f t="shared" si="5"/>
        <v>0</v>
      </c>
      <c r="C40" s="151"/>
      <c r="D40" s="112">
        <f t="shared" si="6"/>
        <v>0</v>
      </c>
      <c r="E40" s="147"/>
      <c r="F40" s="147"/>
      <c r="G40" s="148"/>
      <c r="H40" s="149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05" customHeight="1" x14ac:dyDescent="0.3">
      <c r="A41" s="33"/>
      <c r="B41" s="150" t="s">
        <v>0</v>
      </c>
      <c r="C41" s="151"/>
      <c r="D41" s="112">
        <f>SUM(D33:D40)</f>
        <v>24.5</v>
      </c>
      <c r="E41" s="178">
        <f t="shared" ref="E41:H41" si="9">SUM(E33:E40)</f>
        <v>0</v>
      </c>
      <c r="F41" s="178">
        <f t="shared" si="9"/>
        <v>0</v>
      </c>
      <c r="G41" s="176">
        <f t="shared" si="9"/>
        <v>0</v>
      </c>
      <c r="H41" s="177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05" hidden="1" customHeight="1" thickTop="1" x14ac:dyDescent="0.3">
      <c r="A42"/>
    </row>
    <row r="43" spans="1:19" ht="14.4" x14ac:dyDescent="0.3"/>
    <row r="44" spans="1:19" ht="14.4" x14ac:dyDescent="0.3"/>
    <row r="45" spans="1:19" ht="14.4" x14ac:dyDescent="0.3"/>
    <row r="46" spans="1:19" ht="14.4" x14ac:dyDescent="0.3"/>
    <row r="47" spans="1:19" ht="14.4" x14ac:dyDescent="0.3"/>
    <row r="48" spans="1:19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</sheetData>
  <sheetProtection selectLockedCells="1"/>
  <mergeCells count="55">
    <mergeCell ref="C1:E1"/>
    <mergeCell ref="A2:Q2"/>
    <mergeCell ref="B4:C4"/>
    <mergeCell ref="E4:F4"/>
    <mergeCell ref="H4:I4"/>
    <mergeCell ref="L4:M4"/>
    <mergeCell ref="P4:P5"/>
    <mergeCell ref="B16:C16"/>
    <mergeCell ref="L16:O25"/>
    <mergeCell ref="B17:C17"/>
    <mergeCell ref="B18:C18"/>
    <mergeCell ref="B19:C19"/>
    <mergeCell ref="I8:J8"/>
    <mergeCell ref="L8:M8"/>
    <mergeCell ref="E9:F9"/>
    <mergeCell ref="P10:P11"/>
    <mergeCell ref="I11:M14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B34:C34"/>
    <mergeCell ref="E34:F34"/>
    <mergeCell ref="G34:H34"/>
    <mergeCell ref="B35:C35"/>
    <mergeCell ref="E35:F35"/>
    <mergeCell ref="G35:H35"/>
    <mergeCell ref="B36:C36"/>
    <mergeCell ref="E36:F36"/>
    <mergeCell ref="G36:H36"/>
    <mergeCell ref="B37:C37"/>
    <mergeCell ref="E37:F37"/>
    <mergeCell ref="G37:H37"/>
    <mergeCell ref="B38:C38"/>
    <mergeCell ref="E38:F38"/>
    <mergeCell ref="G38:H38"/>
    <mergeCell ref="B39:C39"/>
    <mergeCell ref="E39:F39"/>
    <mergeCell ref="G39:H39"/>
    <mergeCell ref="B40:C40"/>
    <mergeCell ref="E40:F40"/>
    <mergeCell ref="G40:H40"/>
    <mergeCell ref="B41:C41"/>
    <mergeCell ref="E41:F41"/>
    <mergeCell ref="G41:H41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C8FF0-87F6-AA4F-A7D8-2CDE1787E671}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 x14ac:dyDescent="0.3"/>
  <cols>
    <col min="1" max="1" width="16" style="2" customWidth="1"/>
    <col min="2" max="2" width="18.77734375" style="2" bestFit="1" customWidth="1"/>
    <col min="3" max="4" width="10.77734375" style="2" customWidth="1"/>
    <col min="5" max="5" width="22.109375" style="2" customWidth="1"/>
    <col min="6" max="6" width="15.6640625" style="2" customWidth="1"/>
    <col min="7" max="7" width="14" style="2" customWidth="1"/>
    <col min="8" max="12" width="10.77734375" style="2" customWidth="1"/>
    <col min="13" max="14" width="11.33203125" style="2" customWidth="1"/>
    <col min="15" max="15" width="10.77734375" style="2" customWidth="1"/>
    <col min="16" max="16" width="15.33203125" style="2" customWidth="1"/>
    <col min="17" max="18" width="10.77734375" style="2" customWidth="1"/>
    <col min="19" max="16384" width="10.77734375" style="2" hidden="1"/>
  </cols>
  <sheetData>
    <row r="1" spans="1:16" ht="79.95" customHeight="1" thickBot="1" x14ac:dyDescent="0.35">
      <c r="A1" s="48"/>
      <c r="B1" s="218" t="s">
        <v>59</v>
      </c>
      <c r="C1" s="218"/>
      <c r="D1" s="218"/>
      <c r="E1" s="218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219" t="s">
        <v>56</v>
      </c>
      <c r="P1" s="220"/>
    </row>
    <row r="2" spans="1:16" ht="48" thickBot="1" x14ac:dyDescent="0.35">
      <c r="A2" s="144" t="s">
        <v>60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6"/>
    </row>
    <row r="3" spans="1:16" thickBot="1" x14ac:dyDescent="0.35"/>
    <row r="4" spans="1:16" ht="39.450000000000003" customHeight="1" x14ac:dyDescent="0.3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221" t="s">
        <v>73</v>
      </c>
      <c r="J4" s="222"/>
      <c r="K4" s="222"/>
      <c r="L4" s="222"/>
      <c r="M4" s="222"/>
      <c r="N4" s="222"/>
      <c r="O4" s="222"/>
      <c r="P4" s="223"/>
    </row>
    <row r="5" spans="1:16" ht="37.950000000000003" customHeight="1" thickBot="1" x14ac:dyDescent="0.35">
      <c r="B5" s="57">
        <f>DOMINGO!D25</f>
        <v>10</v>
      </c>
      <c r="C5" s="58">
        <f>DOMINGO!C5</f>
        <v>4758</v>
      </c>
      <c r="D5" s="58">
        <f>DOMINGO!C8</f>
        <v>1.0305393112410657</v>
      </c>
      <c r="E5" s="58">
        <f>DOMINGO!M5</f>
        <v>475.8</v>
      </c>
      <c r="F5" s="59">
        <f>DOMINGO!M6</f>
        <v>0.10305393112410657</v>
      </c>
      <c r="G5" s="65"/>
      <c r="H5"/>
      <c r="I5" s="224"/>
      <c r="J5" s="225"/>
      <c r="K5" s="225"/>
      <c r="L5" s="225"/>
      <c r="M5" s="225"/>
      <c r="N5" s="225"/>
      <c r="O5" s="225"/>
      <c r="P5" s="226"/>
    </row>
    <row r="6" spans="1:16" thickBot="1" x14ac:dyDescent="0.35"/>
    <row r="7" spans="1:16" ht="28.8" x14ac:dyDescent="0.3">
      <c r="B7" s="215" t="s">
        <v>65</v>
      </c>
      <c r="C7" s="210"/>
      <c r="D7" s="210"/>
      <c r="E7" s="210"/>
      <c r="F7" s="211"/>
      <c r="G7" s="64"/>
      <c r="I7" s="215" t="s">
        <v>66</v>
      </c>
      <c r="J7" s="210"/>
      <c r="K7" s="210"/>
      <c r="L7" s="210"/>
      <c r="M7" s="210"/>
      <c r="N7" s="210"/>
      <c r="O7" s="210"/>
      <c r="P7" s="211"/>
    </row>
    <row r="8" spans="1:16" ht="16.95" customHeight="1" thickBot="1" x14ac:dyDescent="0.35">
      <c r="B8" s="212"/>
      <c r="C8" s="213"/>
      <c r="D8" s="213"/>
      <c r="E8" s="213"/>
      <c r="F8" s="214"/>
      <c r="G8" s="64"/>
      <c r="I8" s="212"/>
      <c r="J8" s="213"/>
      <c r="K8" s="213"/>
      <c r="L8" s="213"/>
      <c r="M8" s="213"/>
      <c r="N8" s="213"/>
      <c r="O8" s="213"/>
      <c r="P8" s="214"/>
    </row>
    <row r="9" spans="1:16" ht="61.95" customHeight="1" x14ac:dyDescent="0.3">
      <c r="B9" s="200" t="s">
        <v>71</v>
      </c>
      <c r="C9" s="201"/>
      <c r="D9" s="201"/>
      <c r="E9" s="201"/>
      <c r="F9" s="201"/>
      <c r="G9" s="62"/>
      <c r="I9" s="216" t="s">
        <v>80</v>
      </c>
      <c r="J9" s="217"/>
      <c r="K9" s="217"/>
      <c r="L9" s="217"/>
      <c r="M9" s="217"/>
      <c r="N9" s="217"/>
      <c r="O9" s="217"/>
      <c r="P9" s="217"/>
    </row>
    <row r="10" spans="1:16" ht="49.95" customHeight="1" x14ac:dyDescent="0.3">
      <c r="B10" s="202" t="s">
        <v>78</v>
      </c>
      <c r="C10" s="203"/>
      <c r="D10" s="203"/>
      <c r="E10" s="203"/>
      <c r="F10" s="203"/>
      <c r="G10" s="61"/>
      <c r="I10" s="204" t="s">
        <v>72</v>
      </c>
      <c r="J10" s="204"/>
      <c r="K10" s="204"/>
      <c r="L10" s="204"/>
      <c r="M10" s="204"/>
      <c r="N10" s="204"/>
      <c r="O10" s="204"/>
      <c r="P10" s="204"/>
    </row>
    <row r="11" spans="1:16" ht="61.95" customHeight="1" x14ac:dyDescent="0.3">
      <c r="B11" s="202" t="s">
        <v>79</v>
      </c>
      <c r="C11" s="202"/>
      <c r="D11" s="202"/>
      <c r="E11" s="202"/>
      <c r="F11" s="202"/>
      <c r="I11" s="204" t="s">
        <v>81</v>
      </c>
      <c r="J11" s="204"/>
      <c r="K11" s="204"/>
      <c r="L11" s="204"/>
      <c r="M11" s="204"/>
      <c r="N11" s="204"/>
      <c r="O11" s="204"/>
      <c r="P11" s="204"/>
    </row>
    <row r="12" spans="1:16" ht="49.95" customHeight="1" x14ac:dyDescent="0.3">
      <c r="I12" s="204" t="s">
        <v>70</v>
      </c>
      <c r="J12" s="204"/>
      <c r="K12" s="204"/>
      <c r="L12" s="204"/>
      <c r="M12" s="204"/>
      <c r="N12" s="204"/>
      <c r="O12" s="204"/>
      <c r="P12" s="204"/>
    </row>
    <row r="13" spans="1:16" ht="49.95" customHeight="1" thickBot="1" x14ac:dyDescent="0.35">
      <c r="I13" s="204"/>
      <c r="J13" s="204"/>
      <c r="K13" s="204"/>
      <c r="L13" s="204"/>
      <c r="M13" s="204"/>
      <c r="N13" s="204"/>
      <c r="O13" s="204"/>
      <c r="P13" s="204"/>
    </row>
    <row r="14" spans="1:16" ht="15" customHeight="1" x14ac:dyDescent="0.3">
      <c r="B14" s="209" t="s">
        <v>98</v>
      </c>
      <c r="C14" s="210"/>
      <c r="D14" s="210"/>
      <c r="E14" s="210"/>
      <c r="F14" s="211"/>
      <c r="G14" s="64"/>
      <c r="I14" s="215" t="s">
        <v>67</v>
      </c>
      <c r="J14" s="210"/>
      <c r="K14" s="210"/>
      <c r="L14" s="210"/>
      <c r="M14" s="210"/>
      <c r="N14" s="210"/>
      <c r="O14" s="210"/>
      <c r="P14" s="211"/>
    </row>
    <row r="15" spans="1:16" ht="16.05" customHeight="1" thickBot="1" x14ac:dyDescent="0.35">
      <c r="B15" s="212"/>
      <c r="C15" s="213"/>
      <c r="D15" s="213"/>
      <c r="E15" s="213"/>
      <c r="F15" s="214"/>
      <c r="G15" s="64"/>
      <c r="I15" s="212"/>
      <c r="J15" s="213"/>
      <c r="K15" s="213"/>
      <c r="L15" s="213"/>
      <c r="M15" s="213"/>
      <c r="N15" s="213"/>
      <c r="O15" s="213"/>
      <c r="P15" s="214"/>
    </row>
    <row r="16" spans="1:16" ht="46.05" customHeight="1" x14ac:dyDescent="0.3">
      <c r="B16" s="207" t="s">
        <v>87</v>
      </c>
      <c r="C16" s="208"/>
      <c r="D16" s="208"/>
      <c r="E16" s="208"/>
      <c r="F16" s="208"/>
      <c r="I16" s="189" t="s">
        <v>101</v>
      </c>
      <c r="J16" s="190"/>
      <c r="K16" s="60"/>
      <c r="L16" s="189" t="s">
        <v>104</v>
      </c>
      <c r="M16" s="190"/>
      <c r="N16" s="60"/>
      <c r="O16" s="189" t="s">
        <v>117</v>
      </c>
      <c r="P16" s="190"/>
    </row>
    <row r="17" spans="1:16" ht="54" customHeight="1" x14ac:dyDescent="0.3">
      <c r="B17" s="206" t="s">
        <v>88</v>
      </c>
      <c r="C17" s="205"/>
      <c r="D17" s="205"/>
      <c r="E17" s="205"/>
      <c r="F17" s="205"/>
      <c r="I17" s="184" t="s">
        <v>102</v>
      </c>
      <c r="J17" s="185"/>
      <c r="K17" s="63"/>
      <c r="L17" s="184" t="s">
        <v>105</v>
      </c>
      <c r="M17" s="185"/>
      <c r="N17" s="63"/>
      <c r="O17" s="184" t="s">
        <v>118</v>
      </c>
      <c r="P17" s="185"/>
    </row>
    <row r="18" spans="1:16" ht="46.05" customHeight="1" x14ac:dyDescent="0.3">
      <c r="B18" s="206" t="s">
        <v>89</v>
      </c>
      <c r="C18" s="205"/>
      <c r="D18" s="205"/>
      <c r="E18" s="205"/>
      <c r="F18" s="205"/>
      <c r="I18" s="182" t="s">
        <v>106</v>
      </c>
      <c r="J18" s="183"/>
      <c r="K18" s="66"/>
      <c r="L18" s="182" t="s">
        <v>110</v>
      </c>
      <c r="M18" s="183"/>
      <c r="N18" s="66"/>
      <c r="O18" s="186" t="s">
        <v>119</v>
      </c>
      <c r="P18" s="183"/>
    </row>
    <row r="19" spans="1:16" ht="46.05" customHeight="1" x14ac:dyDescent="0.3">
      <c r="B19" s="206" t="s">
        <v>90</v>
      </c>
      <c r="C19" s="205"/>
      <c r="D19" s="205"/>
      <c r="E19" s="205"/>
      <c r="F19" s="205"/>
      <c r="I19" s="182" t="s">
        <v>103</v>
      </c>
      <c r="J19" s="183"/>
      <c r="K19" s="66"/>
      <c r="L19" s="187" t="s">
        <v>111</v>
      </c>
      <c r="M19" s="187"/>
      <c r="N19" s="66"/>
      <c r="O19" s="182" t="s">
        <v>120</v>
      </c>
      <c r="P19" s="183"/>
    </row>
    <row r="20" spans="1:16" ht="46.05" customHeight="1" x14ac:dyDescent="0.3">
      <c r="B20" s="204" t="s">
        <v>74</v>
      </c>
      <c r="C20" s="205"/>
      <c r="D20" s="205"/>
      <c r="E20" s="205"/>
      <c r="F20" s="205"/>
      <c r="I20" s="182" t="s">
        <v>107</v>
      </c>
      <c r="J20" s="183"/>
      <c r="K20" s="66"/>
      <c r="L20" s="182" t="s">
        <v>112</v>
      </c>
      <c r="M20" s="183"/>
      <c r="N20" s="66"/>
      <c r="O20" s="182" t="s">
        <v>121</v>
      </c>
      <c r="P20" s="183"/>
    </row>
    <row r="21" spans="1:16" ht="46.05" customHeight="1" x14ac:dyDescent="0.3">
      <c r="I21" s="182" t="s">
        <v>108</v>
      </c>
      <c r="J21" s="183"/>
      <c r="K21" s="66"/>
      <c r="L21" s="182" t="s">
        <v>113</v>
      </c>
      <c r="M21" s="183"/>
      <c r="N21" s="66"/>
      <c r="O21" s="182" t="s">
        <v>122</v>
      </c>
      <c r="P21" s="183"/>
    </row>
    <row r="22" spans="1:16" ht="46.05" customHeight="1" x14ac:dyDescent="0.3">
      <c r="I22" s="182" t="s">
        <v>109</v>
      </c>
      <c r="J22" s="183"/>
      <c r="K22" s="66"/>
      <c r="L22" s="188" t="s">
        <v>114</v>
      </c>
      <c r="M22" s="188"/>
      <c r="N22" s="67"/>
      <c r="O22" s="182" t="s">
        <v>123</v>
      </c>
      <c r="P22" s="183"/>
    </row>
    <row r="23" spans="1:16" ht="46.05" customHeight="1" x14ac:dyDescent="0.3">
      <c r="K23" s="66"/>
      <c r="L23" s="182" t="s">
        <v>115</v>
      </c>
      <c r="M23" s="183"/>
      <c r="N23" s="66"/>
      <c r="O23" s="182" t="s">
        <v>124</v>
      </c>
      <c r="P23" s="183"/>
    </row>
    <row r="24" spans="1:16" ht="46.05" customHeight="1" x14ac:dyDescent="0.3">
      <c r="L24" s="182" t="s">
        <v>116</v>
      </c>
      <c r="M24" s="183"/>
      <c r="N24" s="66"/>
    </row>
    <row r="25" spans="1:16" ht="46.05" customHeight="1" thickBot="1" x14ac:dyDescent="0.35"/>
    <row r="26" spans="1:16" ht="29.4" thickBot="1" x14ac:dyDescent="0.35">
      <c r="A26" s="191" t="s">
        <v>68</v>
      </c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3"/>
    </row>
    <row r="27" spans="1:16" ht="127.95" customHeight="1" thickBot="1" x14ac:dyDescent="0.35">
      <c r="A27" s="194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6"/>
    </row>
    <row r="28" spans="1:16" thickBot="1" x14ac:dyDescent="0.35"/>
    <row r="29" spans="1:16" ht="29.4" thickBot="1" x14ac:dyDescent="0.35">
      <c r="A29" s="191" t="s">
        <v>69</v>
      </c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3"/>
    </row>
    <row r="30" spans="1:16" ht="127.95" customHeight="1" thickBot="1" x14ac:dyDescent="0.35">
      <c r="A30" s="197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9"/>
    </row>
    <row r="31" spans="1:16" ht="14.4" x14ac:dyDescent="0.3"/>
    <row r="32" spans="1:16" ht="14.4" x14ac:dyDescent="0.3"/>
  </sheetData>
  <mergeCells count="48">
    <mergeCell ref="B1:E1"/>
    <mergeCell ref="O1:P1"/>
    <mergeCell ref="A2:P2"/>
    <mergeCell ref="I4:P5"/>
    <mergeCell ref="B7:F8"/>
    <mergeCell ref="I7:P8"/>
    <mergeCell ref="B9:F9"/>
    <mergeCell ref="I9:P9"/>
    <mergeCell ref="B10:F10"/>
    <mergeCell ref="I10:P10"/>
    <mergeCell ref="B11:F11"/>
    <mergeCell ref="I11:P11"/>
    <mergeCell ref="I12:P13"/>
    <mergeCell ref="B14:F15"/>
    <mergeCell ref="I14:P15"/>
    <mergeCell ref="B16:F16"/>
    <mergeCell ref="I16:J16"/>
    <mergeCell ref="L16:M16"/>
    <mergeCell ref="O16:P16"/>
    <mergeCell ref="B17:F17"/>
    <mergeCell ref="I17:J17"/>
    <mergeCell ref="L17:M17"/>
    <mergeCell ref="O17:P17"/>
    <mergeCell ref="B18:F18"/>
    <mergeCell ref="I18:J18"/>
    <mergeCell ref="L18:M18"/>
    <mergeCell ref="O18:P18"/>
    <mergeCell ref="B19:F19"/>
    <mergeCell ref="I19:J19"/>
    <mergeCell ref="L19:M19"/>
    <mergeCell ref="O19:P19"/>
    <mergeCell ref="B20:F20"/>
    <mergeCell ref="I20:J20"/>
    <mergeCell ref="L20:M20"/>
    <mergeCell ref="O20:P20"/>
    <mergeCell ref="I21:J21"/>
    <mergeCell ref="L21:M21"/>
    <mergeCell ref="O21:P21"/>
    <mergeCell ref="I22:J22"/>
    <mergeCell ref="L22:M22"/>
    <mergeCell ref="O22:P22"/>
    <mergeCell ref="A30:P30"/>
    <mergeCell ref="L23:M23"/>
    <mergeCell ref="O23:P23"/>
    <mergeCell ref="L24:M24"/>
    <mergeCell ref="A26:P26"/>
    <mergeCell ref="A27:P27"/>
    <mergeCell ref="A29:P29"/>
  </mergeCell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5636-48D7-A146-B695-626D6928A46F}">
  <sheetPr>
    <tabColor theme="5" tint="0.39997558519241921"/>
    <pageSetUpPr fitToPage="1"/>
  </sheetPr>
  <dimension ref="A1:S53"/>
  <sheetViews>
    <sheetView showGridLines="0" topLeftCell="F25" zoomScale="108" zoomScaleNormal="108" workbookViewId="0">
      <selection activeCell="O33" activeCellId="1" sqref="J33:M35 O33:P36"/>
    </sheetView>
  </sheetViews>
  <sheetFormatPr baseColWidth="10" defaultColWidth="0" defaultRowHeight="15" customHeight="1" zeroHeight="1" x14ac:dyDescent="0.3"/>
  <cols>
    <col min="1" max="1" width="8.77734375" style="27" customWidth="1"/>
    <col min="2" max="2" width="14.6640625" style="27" customWidth="1"/>
    <col min="3" max="3" width="24.6640625" style="27" bestFit="1" customWidth="1"/>
    <col min="4" max="4" width="17.77734375" style="27" bestFit="1" customWidth="1"/>
    <col min="5" max="5" width="27.109375" style="27" customWidth="1"/>
    <col min="6" max="6" width="12.33203125" style="27" bestFit="1" customWidth="1"/>
    <col min="7" max="7" width="13.109375" style="27" bestFit="1" customWidth="1"/>
    <col min="8" max="8" width="19.109375" style="27" bestFit="1" customWidth="1"/>
    <col min="9" max="9" width="23.6640625" style="27" bestFit="1" customWidth="1"/>
    <col min="10" max="10" width="13" style="27" customWidth="1"/>
    <col min="11" max="11" width="16.6640625" style="27" bestFit="1" customWidth="1"/>
    <col min="12" max="12" width="23.33203125" style="27" bestFit="1" customWidth="1"/>
    <col min="13" max="13" width="17.33203125" style="27" bestFit="1" customWidth="1"/>
    <col min="14" max="14" width="17.33203125" style="27" customWidth="1"/>
    <col min="15" max="15" width="10.77734375" style="27" customWidth="1"/>
    <col min="16" max="16" width="39.33203125" style="27" bestFit="1" customWidth="1"/>
    <col min="17" max="17" width="4.109375" style="38" bestFit="1" customWidth="1"/>
    <col min="18" max="18" width="18" bestFit="1" customWidth="1"/>
    <col min="19" max="19" width="8.77734375" customWidth="1"/>
    <col min="20" max="16384" width="8.77734375" hidden="1"/>
  </cols>
  <sheetData>
    <row r="1" spans="1:18" ht="98.25" customHeight="1" thickBot="1" x14ac:dyDescent="0.35">
      <c r="C1" s="139" t="s">
        <v>12</v>
      </c>
      <c r="D1" s="139"/>
      <c r="E1" s="139"/>
      <c r="G1" s="18"/>
      <c r="H1" s="18" t="s">
        <v>13</v>
      </c>
      <c r="I1" s="117">
        <v>29</v>
      </c>
      <c r="J1" s="19" t="s">
        <v>14</v>
      </c>
      <c r="K1" s="118"/>
      <c r="L1" s="19" t="s">
        <v>76</v>
      </c>
      <c r="M1" s="134" t="s">
        <v>126</v>
      </c>
      <c r="N1" s="118"/>
      <c r="P1" s="68" t="s">
        <v>56</v>
      </c>
      <c r="Q1" s="27"/>
    </row>
    <row r="2" spans="1:18" ht="51.75" customHeight="1" thickBot="1" x14ac:dyDescent="0.35">
      <c r="A2" s="144" t="s">
        <v>15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6"/>
    </row>
    <row r="3" spans="1:18" thickBot="1" x14ac:dyDescent="0.35">
      <c r="Q3" s="27"/>
    </row>
    <row r="4" spans="1:18" s="1" customFormat="1" ht="46.05" customHeight="1" thickBot="1" x14ac:dyDescent="0.35">
      <c r="A4" s="28"/>
      <c r="B4" s="140" t="s">
        <v>16</v>
      </c>
      <c r="C4" s="141"/>
      <c r="D4" s="28"/>
      <c r="E4" s="142" t="s">
        <v>19</v>
      </c>
      <c r="F4" s="143"/>
      <c r="G4" s="28"/>
      <c r="H4" s="140" t="s">
        <v>22</v>
      </c>
      <c r="I4" s="141"/>
      <c r="J4" s="3" t="s">
        <v>23</v>
      </c>
      <c r="K4" s="28"/>
      <c r="L4" s="140" t="s">
        <v>24</v>
      </c>
      <c r="M4" s="141"/>
      <c r="N4" s="28"/>
      <c r="O4" s="28"/>
      <c r="P4" s="161" t="s">
        <v>125</v>
      </c>
      <c r="Q4" s="28"/>
    </row>
    <row r="5" spans="1:18" ht="46.05" customHeight="1" x14ac:dyDescent="0.3">
      <c r="B5" s="20" t="s">
        <v>82</v>
      </c>
      <c r="C5" s="93"/>
      <c r="E5" s="21" t="s">
        <v>55</v>
      </c>
      <c r="F5" s="96"/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0</v>
      </c>
      <c r="P5" s="161"/>
      <c r="Q5" s="27"/>
    </row>
    <row r="6" spans="1:18" ht="46.05" customHeight="1" thickBot="1" x14ac:dyDescent="0.35">
      <c r="B6" s="39" t="s">
        <v>17</v>
      </c>
      <c r="C6" s="109">
        <f>C5*0.85</f>
        <v>0</v>
      </c>
      <c r="E6" s="5" t="s">
        <v>20</v>
      </c>
      <c r="F6" s="97"/>
      <c r="H6" s="22" t="s">
        <v>4</v>
      </c>
      <c r="I6" s="101">
        <v>0.05</v>
      </c>
      <c r="J6" s="100" t="e">
        <f>IF(+C8*I6&lt;1,1,C8*I6)</f>
        <v>#DIV/0!</v>
      </c>
      <c r="L6" s="6" t="s">
        <v>23</v>
      </c>
      <c r="M6" s="105" t="e">
        <f>C8/D25</f>
        <v>#DIV/0!</v>
      </c>
      <c r="P6" s="16" t="s">
        <v>2</v>
      </c>
      <c r="Q6" s="27"/>
    </row>
    <row r="7" spans="1:18" ht="46.05" customHeight="1" thickBot="1" x14ac:dyDescent="0.35">
      <c r="B7" s="40" t="s">
        <v>3</v>
      </c>
      <c r="C7" s="109">
        <f>+C5*0.15</f>
        <v>0</v>
      </c>
      <c r="E7" s="5" t="s">
        <v>21</v>
      </c>
      <c r="F7" s="94">
        <f>+F5*F6</f>
        <v>0</v>
      </c>
      <c r="H7" s="23" t="s">
        <v>5</v>
      </c>
      <c r="I7" s="102">
        <v>0.3</v>
      </c>
      <c r="J7" s="103" t="e">
        <f>IF(C8*I7&lt;1,1,C8*I7)</f>
        <v>#DIV/0!</v>
      </c>
      <c r="P7" s="107"/>
      <c r="Q7" s="27"/>
    </row>
    <row r="8" spans="1:18" ht="46.05" customHeight="1" thickBot="1" x14ac:dyDescent="0.35">
      <c r="B8" s="24" t="s">
        <v>18</v>
      </c>
      <c r="C8" s="95" t="e">
        <f>+C5/P9</f>
        <v>#DIV/0!</v>
      </c>
      <c r="E8" s="25" t="s">
        <v>83</v>
      </c>
      <c r="F8" s="98">
        <f>+C5*1.1</f>
        <v>0</v>
      </c>
      <c r="H8" s="29"/>
      <c r="I8" s="172" t="s">
        <v>77</v>
      </c>
      <c r="J8" s="173"/>
      <c r="L8" s="140" t="s">
        <v>57</v>
      </c>
      <c r="M8" s="141"/>
      <c r="P8" s="17" t="s">
        <v>6</v>
      </c>
      <c r="Q8" s="27"/>
    </row>
    <row r="9" spans="1:18" ht="46.05" customHeight="1" thickBot="1" x14ac:dyDescent="0.35">
      <c r="C9"/>
      <c r="E9" s="172" t="s">
        <v>91</v>
      </c>
      <c r="F9" s="173"/>
      <c r="H9"/>
      <c r="I9"/>
      <c r="J9" s="30"/>
      <c r="L9" s="4" t="s">
        <v>75</v>
      </c>
      <c r="M9" s="106"/>
      <c r="P9" s="108"/>
      <c r="Q9" s="27"/>
    </row>
    <row r="10" spans="1:18" ht="46.05" customHeight="1" thickBot="1" x14ac:dyDescent="0.35">
      <c r="B10" s="28"/>
      <c r="C10" s="28"/>
      <c r="J10"/>
      <c r="P10" s="181" t="s">
        <v>26</v>
      </c>
      <c r="Q10" s="27"/>
    </row>
    <row r="11" spans="1:18" ht="46.05" customHeight="1" thickBot="1" x14ac:dyDescent="0.35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69"/>
      <c r="J11" s="169"/>
      <c r="K11" s="169"/>
      <c r="L11" s="169"/>
      <c r="M11" s="169"/>
      <c r="N11" s="119"/>
      <c r="P11" s="181"/>
      <c r="Q11" s="27"/>
    </row>
    <row r="12" spans="1:18" ht="46.05" customHeight="1" thickBot="1" x14ac:dyDescent="0.35">
      <c r="B12" s="42" t="s">
        <v>27</v>
      </c>
      <c r="C12" s="69"/>
      <c r="D12" s="70"/>
      <c r="E12" s="70"/>
      <c r="F12" s="70"/>
      <c r="G12" s="85"/>
      <c r="H12" s="86">
        <f>SUM(C12:G12)</f>
        <v>0</v>
      </c>
      <c r="I12" s="169"/>
      <c r="J12" s="169"/>
      <c r="K12" s="169"/>
      <c r="L12" s="169"/>
      <c r="M12" s="169"/>
      <c r="N12" s="119"/>
      <c r="O12"/>
      <c r="P12" s="16" t="s">
        <v>2</v>
      </c>
      <c r="Q12" s="27"/>
    </row>
    <row r="13" spans="1:18" ht="46.05" customHeight="1" thickBot="1" x14ac:dyDescent="0.35">
      <c r="B13" s="43" t="s">
        <v>28</v>
      </c>
      <c r="C13" s="87" t="e">
        <f>+C12/$H$12</f>
        <v>#DIV/0!</v>
      </c>
      <c r="D13" s="88" t="e">
        <f>+D12/$H$12</f>
        <v>#DIV/0!</v>
      </c>
      <c r="E13" s="88" t="e">
        <f>+E12/$H$12</f>
        <v>#DIV/0!</v>
      </c>
      <c r="F13" s="88" t="e">
        <f>+F12/$H$12</f>
        <v>#DIV/0!</v>
      </c>
      <c r="G13" s="88" t="e">
        <f>+G12/$H$12</f>
        <v>#DIV/0!</v>
      </c>
      <c r="H13" s="89"/>
      <c r="I13" s="169"/>
      <c r="J13" s="169"/>
      <c r="K13" s="169"/>
      <c r="L13" s="169"/>
      <c r="M13" s="169"/>
      <c r="N13" s="119"/>
      <c r="P13" s="107"/>
      <c r="Q13" s="27"/>
    </row>
    <row r="14" spans="1:18" ht="46.05" customHeight="1" thickBot="1" x14ac:dyDescent="0.35">
      <c r="B14" s="44" t="s">
        <v>29</v>
      </c>
      <c r="C14" s="90" t="e">
        <f>+C13*$C$5</f>
        <v>#DIV/0!</v>
      </c>
      <c r="D14" s="91" t="e">
        <f t="shared" ref="D14:G14" si="0">+D13*$C$5</f>
        <v>#DIV/0!</v>
      </c>
      <c r="E14" s="91" t="e">
        <f t="shared" si="0"/>
        <v>#DIV/0!</v>
      </c>
      <c r="F14" s="91" t="e">
        <f t="shared" si="0"/>
        <v>#DIV/0!</v>
      </c>
      <c r="G14" s="91" t="e">
        <f t="shared" si="0"/>
        <v>#DIV/0!</v>
      </c>
      <c r="H14" s="92" t="e">
        <f>+SUM(C14:G14)</f>
        <v>#DIV/0!</v>
      </c>
      <c r="I14" s="169"/>
      <c r="J14" s="169"/>
      <c r="K14" s="169"/>
      <c r="L14" s="169"/>
      <c r="M14" s="169"/>
      <c r="N14" s="119"/>
      <c r="P14" s="17" t="s">
        <v>6</v>
      </c>
      <c r="Q14" s="27"/>
    </row>
    <row r="15" spans="1:18" ht="35.25" customHeight="1" thickBot="1" x14ac:dyDescent="0.35">
      <c r="D15" s="28"/>
      <c r="E15" s="28"/>
      <c r="F15" s="28"/>
      <c r="G15" s="28"/>
      <c r="H15" s="28"/>
      <c r="I15" s="28"/>
      <c r="J15" s="28"/>
      <c r="K15" s="28"/>
      <c r="L15" s="28"/>
      <c r="P15" s="108"/>
      <c r="Q15" s="27"/>
    </row>
    <row r="16" spans="1:18" s="1" customFormat="1" ht="46.05" customHeight="1" thickBot="1" x14ac:dyDescent="0.35">
      <c r="A16" s="28"/>
      <c r="B16" s="163" t="s">
        <v>33</v>
      </c>
      <c r="C16" s="16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62" t="s">
        <v>97</v>
      </c>
      <c r="M16" s="162"/>
      <c r="N16" s="162"/>
      <c r="O16" s="162"/>
      <c r="P16" s="32"/>
      <c r="Q16" s="27"/>
      <c r="R16"/>
    </row>
    <row r="17" spans="1:19" s="26" customFormat="1" ht="46.05" customHeight="1" x14ac:dyDescent="0.3">
      <c r="A17" s="33"/>
      <c r="B17" s="165" t="s">
        <v>93</v>
      </c>
      <c r="C17" s="166"/>
      <c r="D17" s="132">
        <v>3.5</v>
      </c>
      <c r="E17" s="72">
        <f t="shared" ref="E17:E24" si="1">($C$5/$D$25)*D17</f>
        <v>0</v>
      </c>
      <c r="F17" s="73" t="e">
        <f t="shared" ref="F17:F24" si="2">IF((($C$8-$J$5)/$D$25)*D17&lt;1,1,((($C$8-$J$5)/$D$25)*D17))</f>
        <v>#DIV/0!</v>
      </c>
      <c r="G17" s="123"/>
      <c r="H17" s="74" t="e">
        <f t="shared" ref="H17:H24" si="3">IF(D17&gt;0,MAX(($J$6/$D$25)*D17,1),0)</f>
        <v>#DIV/0!</v>
      </c>
      <c r="I17" s="75" t="e">
        <f t="shared" ref="I17:I24" si="4">IF(D17&gt;0,MAX(($J$7/$D$25)*D17,1),0)</f>
        <v>#DIV/0!</v>
      </c>
      <c r="J17" s="34"/>
      <c r="K17" s="28"/>
      <c r="L17" s="162"/>
      <c r="M17" s="162"/>
      <c r="N17" s="162"/>
      <c r="O17" s="162"/>
      <c r="P17" s="32"/>
      <c r="Q17" s="27"/>
      <c r="R17"/>
    </row>
    <row r="18" spans="1:19" s="26" customFormat="1" ht="46.05" customHeight="1" x14ac:dyDescent="0.3">
      <c r="A18" s="33"/>
      <c r="B18" s="167" t="s">
        <v>94</v>
      </c>
      <c r="C18" s="168"/>
      <c r="D18" s="71">
        <v>7</v>
      </c>
      <c r="E18" s="76">
        <f t="shared" si="1"/>
        <v>0</v>
      </c>
      <c r="F18" s="77" t="e">
        <f t="shared" si="2"/>
        <v>#DIV/0!</v>
      </c>
      <c r="G18" s="124"/>
      <c r="H18" s="78" t="e">
        <f t="shared" si="3"/>
        <v>#DIV/0!</v>
      </c>
      <c r="I18" s="79" t="e">
        <f t="shared" si="4"/>
        <v>#DIV/0!</v>
      </c>
      <c r="J18" s="34"/>
      <c r="K18" s="28"/>
      <c r="L18" s="162"/>
      <c r="M18" s="162"/>
      <c r="N18" s="162"/>
      <c r="O18" s="162"/>
      <c r="P18" s="32"/>
      <c r="Q18" s="27"/>
      <c r="R18"/>
    </row>
    <row r="19" spans="1:19" s="26" customFormat="1" ht="46.05" customHeight="1" x14ac:dyDescent="0.3">
      <c r="A19" s="33"/>
      <c r="B19" s="167" t="s">
        <v>95</v>
      </c>
      <c r="C19" s="168"/>
      <c r="D19" s="71">
        <v>7</v>
      </c>
      <c r="E19" s="76">
        <f t="shared" si="1"/>
        <v>0</v>
      </c>
      <c r="F19" s="77" t="e">
        <f t="shared" si="2"/>
        <v>#DIV/0!</v>
      </c>
      <c r="G19" s="124"/>
      <c r="H19" s="78" t="e">
        <f t="shared" si="3"/>
        <v>#DIV/0!</v>
      </c>
      <c r="I19" s="79" t="e">
        <f t="shared" si="4"/>
        <v>#DIV/0!</v>
      </c>
      <c r="J19" s="34"/>
      <c r="K19" s="28"/>
      <c r="L19" s="162"/>
      <c r="M19" s="162"/>
      <c r="N19" s="162"/>
      <c r="O19" s="162"/>
      <c r="P19" s="32"/>
      <c r="Q19" s="27"/>
      <c r="R19"/>
    </row>
    <row r="20" spans="1:19" s="26" customFormat="1" ht="46.05" customHeight="1" x14ac:dyDescent="0.3">
      <c r="A20" s="33"/>
      <c r="B20" s="167" t="s">
        <v>96</v>
      </c>
      <c r="C20" s="168"/>
      <c r="D20" s="71">
        <v>7</v>
      </c>
      <c r="E20" s="76">
        <f t="shared" si="1"/>
        <v>0</v>
      </c>
      <c r="F20" s="77" t="e">
        <f t="shared" si="2"/>
        <v>#DIV/0!</v>
      </c>
      <c r="G20" s="124"/>
      <c r="H20" s="78" t="e">
        <f t="shared" si="3"/>
        <v>#DIV/0!</v>
      </c>
      <c r="I20" s="79" t="e">
        <f t="shared" si="4"/>
        <v>#DIV/0!</v>
      </c>
      <c r="J20" s="34"/>
      <c r="K20" s="28"/>
      <c r="L20" s="162"/>
      <c r="M20" s="162"/>
      <c r="N20" s="162"/>
      <c r="O20" s="162"/>
      <c r="P20" s="32"/>
      <c r="Q20" s="27"/>
      <c r="R20"/>
    </row>
    <row r="21" spans="1:19" s="26" customFormat="1" ht="46.05" customHeight="1" x14ac:dyDescent="0.3">
      <c r="A21" s="33"/>
      <c r="B21" s="167"/>
      <c r="C21" s="168"/>
      <c r="D21" s="71"/>
      <c r="E21" s="76">
        <f t="shared" si="1"/>
        <v>0</v>
      </c>
      <c r="F21" s="77" t="e">
        <f t="shared" si="2"/>
        <v>#DIV/0!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62"/>
      <c r="M21" s="162"/>
      <c r="N21" s="162"/>
      <c r="O21" s="162"/>
      <c r="P21" s="32"/>
      <c r="Q21" s="27"/>
      <c r="R21"/>
    </row>
    <row r="22" spans="1:19" s="26" customFormat="1" ht="46.05" customHeight="1" x14ac:dyDescent="0.3">
      <c r="A22" s="33"/>
      <c r="B22" s="167"/>
      <c r="C22" s="168"/>
      <c r="D22" s="71"/>
      <c r="E22" s="76">
        <f t="shared" si="1"/>
        <v>0</v>
      </c>
      <c r="F22" s="77" t="e">
        <f t="shared" si="2"/>
        <v>#DIV/0!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62"/>
      <c r="M22" s="162"/>
      <c r="N22" s="162"/>
      <c r="O22" s="162"/>
      <c r="P22" s="32"/>
      <c r="Q22" s="27"/>
      <c r="R22"/>
    </row>
    <row r="23" spans="1:19" s="26" customFormat="1" ht="46.05" customHeight="1" x14ac:dyDescent="0.3">
      <c r="A23" s="33"/>
      <c r="B23" s="170"/>
      <c r="C23" s="171"/>
      <c r="D23" s="10"/>
      <c r="E23" s="76">
        <f t="shared" si="1"/>
        <v>0</v>
      </c>
      <c r="F23" s="77" t="e">
        <f t="shared" si="2"/>
        <v>#DIV/0!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62"/>
      <c r="M23" s="162"/>
      <c r="N23" s="162"/>
      <c r="O23" s="162"/>
      <c r="P23" s="32"/>
      <c r="Q23" s="27"/>
      <c r="R23"/>
    </row>
    <row r="24" spans="1:19" s="26" customFormat="1" ht="46.05" customHeight="1" thickBot="1" x14ac:dyDescent="0.35">
      <c r="A24" s="33"/>
      <c r="B24" s="170"/>
      <c r="C24" s="171"/>
      <c r="D24" s="10"/>
      <c r="E24" s="76">
        <f t="shared" si="1"/>
        <v>0</v>
      </c>
      <c r="F24" s="77" t="e">
        <f t="shared" si="2"/>
        <v>#DIV/0!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62"/>
      <c r="M24" s="162"/>
      <c r="N24" s="162"/>
      <c r="O24" s="162"/>
      <c r="P24" s="32"/>
      <c r="Q24" s="27"/>
      <c r="R24"/>
    </row>
    <row r="25" spans="1:19" s="26" customFormat="1" ht="46.05" customHeight="1" thickBot="1" x14ac:dyDescent="0.35">
      <c r="A25" s="33"/>
      <c r="B25" s="174" t="s">
        <v>0</v>
      </c>
      <c r="C25" s="175" t="s">
        <v>0</v>
      </c>
      <c r="D25" s="84">
        <f>+SUM(D17:D24)</f>
        <v>24.5</v>
      </c>
      <c r="E25" s="80">
        <f>SUM(E17:E24)</f>
        <v>0</v>
      </c>
      <c r="F25" s="81" t="e">
        <f>SUM(F17:F24)</f>
        <v>#DIV/0!</v>
      </c>
      <c r="G25" s="81">
        <f>SUM(G17:G24)</f>
        <v>0</v>
      </c>
      <c r="H25" s="82" t="e">
        <f>+J6</f>
        <v>#DIV/0!</v>
      </c>
      <c r="I25" s="83" t="e">
        <f>+J7</f>
        <v>#DIV/0!</v>
      </c>
      <c r="J25" s="35"/>
      <c r="K25" s="28"/>
      <c r="L25" s="162"/>
      <c r="M25" s="162"/>
      <c r="N25" s="162"/>
      <c r="O25" s="162"/>
      <c r="P25" s="32"/>
      <c r="Q25" s="27"/>
      <c r="R25"/>
    </row>
    <row r="26" spans="1:19" ht="56.55" customHeight="1" thickBot="1" x14ac:dyDescent="0.35">
      <c r="F26" s="28"/>
      <c r="Q26" s="27"/>
    </row>
    <row r="27" spans="1:19" ht="62.25" customHeight="1" thickBot="1" x14ac:dyDescent="0.35">
      <c r="A27" s="144" t="s">
        <v>39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6"/>
    </row>
    <row r="28" spans="1:19" ht="15.45" customHeight="1" thickBot="1" x14ac:dyDescent="0.35">
      <c r="Q28" s="27"/>
    </row>
    <row r="29" spans="1:19" ht="31.8" thickBot="1" x14ac:dyDescent="0.35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 x14ac:dyDescent="0.35">
      <c r="A30" s="33"/>
      <c r="B30" s="158" t="s">
        <v>46</v>
      </c>
      <c r="C30" s="159" t="s">
        <v>0</v>
      </c>
      <c r="D30" s="115">
        <f>+C5</f>
        <v>0</v>
      </c>
      <c r="E30" s="116">
        <v>25600</v>
      </c>
      <c r="F30" s="115" t="e">
        <f>+C8</f>
        <v>#DIV/0!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5" customHeight="1" thickBot="1" x14ac:dyDescent="0.35">
      <c r="Q31" s="27"/>
    </row>
    <row r="32" spans="1:19" s="1" customFormat="1" ht="58.05" customHeight="1" thickBot="1" x14ac:dyDescent="0.35">
      <c r="A32" s="28"/>
      <c r="B32" s="163" t="s">
        <v>47</v>
      </c>
      <c r="C32" s="164"/>
      <c r="D32" s="14" t="s">
        <v>34</v>
      </c>
      <c r="E32" s="152" t="s">
        <v>48</v>
      </c>
      <c r="F32" s="153"/>
      <c r="G32" s="154" t="s">
        <v>49</v>
      </c>
      <c r="H32" s="155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05" customHeight="1" x14ac:dyDescent="0.3">
      <c r="A33" s="33"/>
      <c r="B33" s="179" t="str">
        <f t="shared" ref="B33:B40" si="5">B17</f>
        <v>ELIAS</v>
      </c>
      <c r="C33" s="180"/>
      <c r="D33" s="133">
        <f t="shared" ref="D33:D40" si="6">D17</f>
        <v>3.5</v>
      </c>
      <c r="E33" s="160"/>
      <c r="F33" s="160"/>
      <c r="G33" s="156"/>
      <c r="H33" s="157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05" customHeight="1" x14ac:dyDescent="0.3">
      <c r="A34" s="33"/>
      <c r="B34" s="150" t="str">
        <f t="shared" si="5"/>
        <v>CATALINA</v>
      </c>
      <c r="C34" s="151"/>
      <c r="D34" s="112">
        <f t="shared" si="6"/>
        <v>7</v>
      </c>
      <c r="E34" s="147"/>
      <c r="F34" s="147"/>
      <c r="G34" s="148"/>
      <c r="H34" s="149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05" customHeight="1" x14ac:dyDescent="0.3">
      <c r="A35" s="33"/>
      <c r="B35" s="150" t="str">
        <f t="shared" si="5"/>
        <v>VICTOR</v>
      </c>
      <c r="C35" s="151"/>
      <c r="D35" s="112">
        <f t="shared" si="6"/>
        <v>7</v>
      </c>
      <c r="E35" s="147"/>
      <c r="F35" s="147"/>
      <c r="G35" s="148"/>
      <c r="H35" s="149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05" customHeight="1" x14ac:dyDescent="0.3">
      <c r="A36" s="33"/>
      <c r="B36" s="150" t="str">
        <f t="shared" si="5"/>
        <v>JIMENA</v>
      </c>
      <c r="C36" s="151"/>
      <c r="D36" s="112">
        <f t="shared" si="6"/>
        <v>7</v>
      </c>
      <c r="E36" s="147"/>
      <c r="F36" s="147"/>
      <c r="G36" s="148"/>
      <c r="H36" s="149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05" customHeight="1" x14ac:dyDescent="0.3">
      <c r="A37" s="33"/>
      <c r="B37" s="150">
        <f t="shared" si="5"/>
        <v>0</v>
      </c>
      <c r="C37" s="151"/>
      <c r="D37" s="112">
        <f t="shared" si="6"/>
        <v>0</v>
      </c>
      <c r="E37" s="147"/>
      <c r="F37" s="147"/>
      <c r="G37" s="148"/>
      <c r="H37" s="149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05" customHeight="1" x14ac:dyDescent="0.3">
      <c r="A38" s="33"/>
      <c r="B38" s="150">
        <f t="shared" si="5"/>
        <v>0</v>
      </c>
      <c r="C38" s="151"/>
      <c r="D38" s="112">
        <f t="shared" si="6"/>
        <v>0</v>
      </c>
      <c r="E38" s="147"/>
      <c r="F38" s="147"/>
      <c r="G38" s="148"/>
      <c r="H38" s="149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05" customHeight="1" x14ac:dyDescent="0.3">
      <c r="A39" s="33"/>
      <c r="B39" s="150">
        <f t="shared" si="5"/>
        <v>0</v>
      </c>
      <c r="C39" s="151"/>
      <c r="D39" s="112">
        <f t="shared" si="6"/>
        <v>0</v>
      </c>
      <c r="E39" s="147"/>
      <c r="F39" s="147"/>
      <c r="G39" s="148"/>
      <c r="H39" s="149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05" customHeight="1" x14ac:dyDescent="0.3">
      <c r="A40" s="33"/>
      <c r="B40" s="150">
        <f t="shared" si="5"/>
        <v>0</v>
      </c>
      <c r="C40" s="151"/>
      <c r="D40" s="112">
        <f t="shared" si="6"/>
        <v>0</v>
      </c>
      <c r="E40" s="147"/>
      <c r="F40" s="147"/>
      <c r="G40" s="148"/>
      <c r="H40" s="149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05" customHeight="1" x14ac:dyDescent="0.3">
      <c r="A41" s="33"/>
      <c r="B41" s="150" t="s">
        <v>0</v>
      </c>
      <c r="C41" s="151"/>
      <c r="D41" s="112">
        <f>SUM(D33:D40)</f>
        <v>24.5</v>
      </c>
      <c r="E41" s="178">
        <f t="shared" ref="E41:H41" si="9">SUM(E33:E40)</f>
        <v>0</v>
      </c>
      <c r="F41" s="178">
        <f t="shared" si="9"/>
        <v>0</v>
      </c>
      <c r="G41" s="176">
        <f t="shared" si="9"/>
        <v>0</v>
      </c>
      <c r="H41" s="177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05" hidden="1" customHeight="1" thickTop="1" x14ac:dyDescent="0.3">
      <c r="A42"/>
    </row>
    <row r="43" spans="1:19" ht="14.4" x14ac:dyDescent="0.3"/>
    <row r="44" spans="1:19" ht="14.4" x14ac:dyDescent="0.3"/>
    <row r="45" spans="1:19" ht="14.4" x14ac:dyDescent="0.3"/>
    <row r="46" spans="1:19" ht="14.4" x14ac:dyDescent="0.3"/>
    <row r="47" spans="1:19" ht="14.4" x14ac:dyDescent="0.3"/>
    <row r="48" spans="1:19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</sheetData>
  <sheetProtection selectLockedCells="1"/>
  <mergeCells count="55">
    <mergeCell ref="C1:E1"/>
    <mergeCell ref="A2:Q2"/>
    <mergeCell ref="B4:C4"/>
    <mergeCell ref="E4:F4"/>
    <mergeCell ref="H4:I4"/>
    <mergeCell ref="L4:M4"/>
    <mergeCell ref="P4:P5"/>
    <mergeCell ref="B16:C16"/>
    <mergeCell ref="L16:O25"/>
    <mergeCell ref="B17:C17"/>
    <mergeCell ref="B18:C18"/>
    <mergeCell ref="B19:C19"/>
    <mergeCell ref="I8:J8"/>
    <mergeCell ref="L8:M8"/>
    <mergeCell ref="E9:F9"/>
    <mergeCell ref="P10:P11"/>
    <mergeCell ref="I11:M14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B34:C34"/>
    <mergeCell ref="E34:F34"/>
    <mergeCell ref="G34:H34"/>
    <mergeCell ref="B35:C35"/>
    <mergeCell ref="E35:F35"/>
    <mergeCell ref="G35:H35"/>
    <mergeCell ref="B36:C36"/>
    <mergeCell ref="E36:F36"/>
    <mergeCell ref="G36:H36"/>
    <mergeCell ref="B37:C37"/>
    <mergeCell ref="E37:F37"/>
    <mergeCell ref="G37:H37"/>
    <mergeCell ref="B38:C38"/>
    <mergeCell ref="E38:F38"/>
    <mergeCell ref="G38:H38"/>
    <mergeCell ref="B39:C39"/>
    <mergeCell ref="E39:F39"/>
    <mergeCell ref="G39:H39"/>
    <mergeCell ref="B40:C40"/>
    <mergeCell ref="E40:F40"/>
    <mergeCell ref="G40:H40"/>
    <mergeCell ref="B41:C41"/>
    <mergeCell ref="E41:F41"/>
    <mergeCell ref="G41:H41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E676-F5FD-1841-AAF9-C917CD04FF66}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 x14ac:dyDescent="0.3"/>
  <cols>
    <col min="1" max="1" width="16" style="2" customWidth="1"/>
    <col min="2" max="2" width="18.77734375" style="2" bestFit="1" customWidth="1"/>
    <col min="3" max="4" width="10.77734375" style="2" customWidth="1"/>
    <col min="5" max="5" width="22.109375" style="2" customWidth="1"/>
    <col min="6" max="6" width="15.6640625" style="2" customWidth="1"/>
    <col min="7" max="7" width="14" style="2" customWidth="1"/>
    <col min="8" max="12" width="10.77734375" style="2" customWidth="1"/>
    <col min="13" max="14" width="11.33203125" style="2" customWidth="1"/>
    <col min="15" max="15" width="10.77734375" style="2" customWidth="1"/>
    <col min="16" max="16" width="15.33203125" style="2" customWidth="1"/>
    <col min="17" max="18" width="10.77734375" style="2" customWidth="1"/>
    <col min="19" max="16384" width="10.77734375" style="2" hidden="1"/>
  </cols>
  <sheetData>
    <row r="1" spans="1:16" ht="79.95" customHeight="1" thickBot="1" x14ac:dyDescent="0.35">
      <c r="A1" s="48"/>
      <c r="B1" s="218" t="s">
        <v>59</v>
      </c>
      <c r="C1" s="218"/>
      <c r="D1" s="218"/>
      <c r="E1" s="218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219" t="s">
        <v>56</v>
      </c>
      <c r="P1" s="220"/>
    </row>
    <row r="2" spans="1:16" ht="48" thickBot="1" x14ac:dyDescent="0.35">
      <c r="A2" s="144" t="s">
        <v>60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6"/>
    </row>
    <row r="3" spans="1:16" thickBot="1" x14ac:dyDescent="0.35"/>
    <row r="4" spans="1:16" ht="39.450000000000003" customHeight="1" x14ac:dyDescent="0.3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221" t="s">
        <v>73</v>
      </c>
      <c r="J4" s="222"/>
      <c r="K4" s="222"/>
      <c r="L4" s="222"/>
      <c r="M4" s="222"/>
      <c r="N4" s="222"/>
      <c r="O4" s="222"/>
      <c r="P4" s="223"/>
    </row>
    <row r="5" spans="1:16" ht="37.950000000000003" customHeight="1" thickBot="1" x14ac:dyDescent="0.35">
      <c r="B5" s="57">
        <f>DOMINGO!D25</f>
        <v>10</v>
      </c>
      <c r="C5" s="58">
        <f>DOMINGO!C5</f>
        <v>4758</v>
      </c>
      <c r="D5" s="58">
        <f>DOMINGO!C8</f>
        <v>1.0305393112410657</v>
      </c>
      <c r="E5" s="58">
        <f>DOMINGO!M5</f>
        <v>475.8</v>
      </c>
      <c r="F5" s="59">
        <f>DOMINGO!M6</f>
        <v>0.10305393112410657</v>
      </c>
      <c r="G5" s="65"/>
      <c r="H5"/>
      <c r="I5" s="224"/>
      <c r="J5" s="225"/>
      <c r="K5" s="225"/>
      <c r="L5" s="225"/>
      <c r="M5" s="225"/>
      <c r="N5" s="225"/>
      <c r="O5" s="225"/>
      <c r="P5" s="226"/>
    </row>
    <row r="6" spans="1:16" thickBot="1" x14ac:dyDescent="0.35"/>
    <row r="7" spans="1:16" ht="28.8" x14ac:dyDescent="0.3">
      <c r="B7" s="215" t="s">
        <v>65</v>
      </c>
      <c r="C7" s="210"/>
      <c r="D7" s="210"/>
      <c r="E7" s="210"/>
      <c r="F7" s="211"/>
      <c r="G7" s="64"/>
      <c r="I7" s="215" t="s">
        <v>66</v>
      </c>
      <c r="J7" s="210"/>
      <c r="K7" s="210"/>
      <c r="L7" s="210"/>
      <c r="M7" s="210"/>
      <c r="N7" s="210"/>
      <c r="O7" s="210"/>
      <c r="P7" s="211"/>
    </row>
    <row r="8" spans="1:16" ht="16.95" customHeight="1" thickBot="1" x14ac:dyDescent="0.35">
      <c r="B8" s="212"/>
      <c r="C8" s="213"/>
      <c r="D8" s="213"/>
      <c r="E8" s="213"/>
      <c r="F8" s="214"/>
      <c r="G8" s="64"/>
      <c r="I8" s="212"/>
      <c r="J8" s="213"/>
      <c r="K8" s="213"/>
      <c r="L8" s="213"/>
      <c r="M8" s="213"/>
      <c r="N8" s="213"/>
      <c r="O8" s="213"/>
      <c r="P8" s="214"/>
    </row>
    <row r="9" spans="1:16" ht="61.95" customHeight="1" x14ac:dyDescent="0.3">
      <c r="B9" s="200" t="s">
        <v>71</v>
      </c>
      <c r="C9" s="201"/>
      <c r="D9" s="201"/>
      <c r="E9" s="201"/>
      <c r="F9" s="201"/>
      <c r="G9" s="62"/>
      <c r="I9" s="216" t="s">
        <v>80</v>
      </c>
      <c r="J9" s="217"/>
      <c r="K9" s="217"/>
      <c r="L9" s="217"/>
      <c r="M9" s="217"/>
      <c r="N9" s="217"/>
      <c r="O9" s="217"/>
      <c r="P9" s="217"/>
    </row>
    <row r="10" spans="1:16" ht="49.95" customHeight="1" x14ac:dyDescent="0.3">
      <c r="B10" s="202" t="s">
        <v>78</v>
      </c>
      <c r="C10" s="203"/>
      <c r="D10" s="203"/>
      <c r="E10" s="203"/>
      <c r="F10" s="203"/>
      <c r="G10" s="61"/>
      <c r="I10" s="204" t="s">
        <v>72</v>
      </c>
      <c r="J10" s="204"/>
      <c r="K10" s="204"/>
      <c r="L10" s="204"/>
      <c r="M10" s="204"/>
      <c r="N10" s="204"/>
      <c r="O10" s="204"/>
      <c r="P10" s="204"/>
    </row>
    <row r="11" spans="1:16" ht="61.95" customHeight="1" x14ac:dyDescent="0.3">
      <c r="B11" s="202" t="s">
        <v>79</v>
      </c>
      <c r="C11" s="202"/>
      <c r="D11" s="202"/>
      <c r="E11" s="202"/>
      <c r="F11" s="202"/>
      <c r="I11" s="204" t="s">
        <v>81</v>
      </c>
      <c r="J11" s="204"/>
      <c r="K11" s="204"/>
      <c r="L11" s="204"/>
      <c r="M11" s="204"/>
      <c r="N11" s="204"/>
      <c r="O11" s="204"/>
      <c r="P11" s="204"/>
    </row>
    <row r="12" spans="1:16" ht="49.95" customHeight="1" x14ac:dyDescent="0.3">
      <c r="I12" s="204" t="s">
        <v>70</v>
      </c>
      <c r="J12" s="204"/>
      <c r="K12" s="204"/>
      <c r="L12" s="204"/>
      <c r="M12" s="204"/>
      <c r="N12" s="204"/>
      <c r="O12" s="204"/>
      <c r="P12" s="204"/>
    </row>
    <row r="13" spans="1:16" ht="49.95" customHeight="1" thickBot="1" x14ac:dyDescent="0.35">
      <c r="I13" s="204"/>
      <c r="J13" s="204"/>
      <c r="K13" s="204"/>
      <c r="L13" s="204"/>
      <c r="M13" s="204"/>
      <c r="N13" s="204"/>
      <c r="O13" s="204"/>
      <c r="P13" s="204"/>
    </row>
    <row r="14" spans="1:16" ht="15" customHeight="1" x14ac:dyDescent="0.3">
      <c r="B14" s="209" t="s">
        <v>98</v>
      </c>
      <c r="C14" s="210"/>
      <c r="D14" s="210"/>
      <c r="E14" s="210"/>
      <c r="F14" s="211"/>
      <c r="G14" s="64"/>
      <c r="I14" s="215" t="s">
        <v>67</v>
      </c>
      <c r="J14" s="210"/>
      <c r="K14" s="210"/>
      <c r="L14" s="210"/>
      <c r="M14" s="210"/>
      <c r="N14" s="210"/>
      <c r="O14" s="210"/>
      <c r="P14" s="211"/>
    </row>
    <row r="15" spans="1:16" ht="16.05" customHeight="1" thickBot="1" x14ac:dyDescent="0.35">
      <c r="B15" s="212"/>
      <c r="C15" s="213"/>
      <c r="D15" s="213"/>
      <c r="E15" s="213"/>
      <c r="F15" s="214"/>
      <c r="G15" s="64"/>
      <c r="I15" s="212"/>
      <c r="J15" s="213"/>
      <c r="K15" s="213"/>
      <c r="L15" s="213"/>
      <c r="M15" s="213"/>
      <c r="N15" s="213"/>
      <c r="O15" s="213"/>
      <c r="P15" s="214"/>
    </row>
    <row r="16" spans="1:16" ht="46.05" customHeight="1" x14ac:dyDescent="0.3">
      <c r="B16" s="207" t="s">
        <v>87</v>
      </c>
      <c r="C16" s="208"/>
      <c r="D16" s="208"/>
      <c r="E16" s="208"/>
      <c r="F16" s="208"/>
      <c r="I16" s="189" t="s">
        <v>101</v>
      </c>
      <c r="J16" s="190"/>
      <c r="K16" s="60"/>
      <c r="L16" s="189" t="s">
        <v>104</v>
      </c>
      <c r="M16" s="190"/>
      <c r="N16" s="60"/>
      <c r="O16" s="189" t="s">
        <v>117</v>
      </c>
      <c r="P16" s="190"/>
    </row>
    <row r="17" spans="1:16" ht="54" customHeight="1" x14ac:dyDescent="0.3">
      <c r="B17" s="206" t="s">
        <v>88</v>
      </c>
      <c r="C17" s="205"/>
      <c r="D17" s="205"/>
      <c r="E17" s="205"/>
      <c r="F17" s="205"/>
      <c r="I17" s="184" t="s">
        <v>102</v>
      </c>
      <c r="J17" s="185"/>
      <c r="K17" s="63"/>
      <c r="L17" s="184" t="s">
        <v>105</v>
      </c>
      <c r="M17" s="185"/>
      <c r="N17" s="63"/>
      <c r="O17" s="184" t="s">
        <v>118</v>
      </c>
      <c r="P17" s="185"/>
    </row>
    <row r="18" spans="1:16" ht="46.05" customHeight="1" x14ac:dyDescent="0.3">
      <c r="B18" s="206" t="s">
        <v>89</v>
      </c>
      <c r="C18" s="205"/>
      <c r="D18" s="205"/>
      <c r="E18" s="205"/>
      <c r="F18" s="205"/>
      <c r="I18" s="182" t="s">
        <v>106</v>
      </c>
      <c r="J18" s="183"/>
      <c r="K18" s="66"/>
      <c r="L18" s="182" t="s">
        <v>110</v>
      </c>
      <c r="M18" s="183"/>
      <c r="N18" s="66"/>
      <c r="O18" s="186" t="s">
        <v>119</v>
      </c>
      <c r="P18" s="183"/>
    </row>
    <row r="19" spans="1:16" ht="46.05" customHeight="1" x14ac:dyDescent="0.3">
      <c r="B19" s="206" t="s">
        <v>90</v>
      </c>
      <c r="C19" s="205"/>
      <c r="D19" s="205"/>
      <c r="E19" s="205"/>
      <c r="F19" s="205"/>
      <c r="I19" s="182" t="s">
        <v>103</v>
      </c>
      <c r="J19" s="183"/>
      <c r="K19" s="66"/>
      <c r="L19" s="187" t="s">
        <v>111</v>
      </c>
      <c r="M19" s="187"/>
      <c r="N19" s="66"/>
      <c r="O19" s="182" t="s">
        <v>120</v>
      </c>
      <c r="P19" s="183"/>
    </row>
    <row r="20" spans="1:16" ht="46.05" customHeight="1" x14ac:dyDescent="0.3">
      <c r="B20" s="204" t="s">
        <v>74</v>
      </c>
      <c r="C20" s="205"/>
      <c r="D20" s="205"/>
      <c r="E20" s="205"/>
      <c r="F20" s="205"/>
      <c r="I20" s="182" t="s">
        <v>107</v>
      </c>
      <c r="J20" s="183"/>
      <c r="K20" s="66"/>
      <c r="L20" s="182" t="s">
        <v>112</v>
      </c>
      <c r="M20" s="183"/>
      <c r="N20" s="66"/>
      <c r="O20" s="182" t="s">
        <v>121</v>
      </c>
      <c r="P20" s="183"/>
    </row>
    <row r="21" spans="1:16" ht="46.05" customHeight="1" x14ac:dyDescent="0.3">
      <c r="I21" s="182" t="s">
        <v>108</v>
      </c>
      <c r="J21" s="183"/>
      <c r="K21" s="66"/>
      <c r="L21" s="182" t="s">
        <v>113</v>
      </c>
      <c r="M21" s="183"/>
      <c r="N21" s="66"/>
      <c r="O21" s="182" t="s">
        <v>122</v>
      </c>
      <c r="P21" s="183"/>
    </row>
    <row r="22" spans="1:16" ht="46.05" customHeight="1" x14ac:dyDescent="0.3">
      <c r="I22" s="182" t="s">
        <v>109</v>
      </c>
      <c r="J22" s="183"/>
      <c r="K22" s="66"/>
      <c r="L22" s="188" t="s">
        <v>114</v>
      </c>
      <c r="M22" s="188"/>
      <c r="N22" s="67"/>
      <c r="O22" s="182" t="s">
        <v>123</v>
      </c>
      <c r="P22" s="183"/>
    </row>
    <row r="23" spans="1:16" ht="46.05" customHeight="1" x14ac:dyDescent="0.3">
      <c r="K23" s="66"/>
      <c r="L23" s="182" t="s">
        <v>115</v>
      </c>
      <c r="M23" s="183"/>
      <c r="N23" s="66"/>
      <c r="O23" s="182" t="s">
        <v>124</v>
      </c>
      <c r="P23" s="183"/>
    </row>
    <row r="24" spans="1:16" ht="46.05" customHeight="1" x14ac:dyDescent="0.3">
      <c r="L24" s="182" t="s">
        <v>116</v>
      </c>
      <c r="M24" s="183"/>
      <c r="N24" s="66"/>
    </row>
    <row r="25" spans="1:16" ht="46.05" customHeight="1" thickBot="1" x14ac:dyDescent="0.35"/>
    <row r="26" spans="1:16" ht="29.4" thickBot="1" x14ac:dyDescent="0.35">
      <c r="A26" s="191" t="s">
        <v>68</v>
      </c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3"/>
    </row>
    <row r="27" spans="1:16" ht="127.95" customHeight="1" thickBot="1" x14ac:dyDescent="0.35">
      <c r="A27" s="194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6"/>
    </row>
    <row r="28" spans="1:16" thickBot="1" x14ac:dyDescent="0.35"/>
    <row r="29" spans="1:16" ht="29.4" thickBot="1" x14ac:dyDescent="0.35">
      <c r="A29" s="191" t="s">
        <v>69</v>
      </c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3"/>
    </row>
    <row r="30" spans="1:16" ht="127.95" customHeight="1" thickBot="1" x14ac:dyDescent="0.35">
      <c r="A30" s="197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9"/>
    </row>
    <row r="31" spans="1:16" ht="14.4" x14ac:dyDescent="0.3"/>
    <row r="32" spans="1:16" ht="14.4" x14ac:dyDescent="0.3"/>
  </sheetData>
  <mergeCells count="48">
    <mergeCell ref="B1:E1"/>
    <mergeCell ref="O1:P1"/>
    <mergeCell ref="A2:P2"/>
    <mergeCell ref="I4:P5"/>
    <mergeCell ref="B7:F8"/>
    <mergeCell ref="I7:P8"/>
    <mergeCell ref="B9:F9"/>
    <mergeCell ref="I9:P9"/>
    <mergeCell ref="B10:F10"/>
    <mergeCell ref="I10:P10"/>
    <mergeCell ref="B11:F11"/>
    <mergeCell ref="I11:P11"/>
    <mergeCell ref="I12:P13"/>
    <mergeCell ref="B14:F15"/>
    <mergeCell ref="I14:P15"/>
    <mergeCell ref="B16:F16"/>
    <mergeCell ref="I16:J16"/>
    <mergeCell ref="L16:M16"/>
    <mergeCell ref="O16:P16"/>
    <mergeCell ref="B17:F17"/>
    <mergeCell ref="I17:J17"/>
    <mergeCell ref="L17:M17"/>
    <mergeCell ref="O17:P17"/>
    <mergeCell ref="B18:F18"/>
    <mergeCell ref="I18:J18"/>
    <mergeCell ref="L18:M18"/>
    <mergeCell ref="O18:P18"/>
    <mergeCell ref="B19:F19"/>
    <mergeCell ref="I19:J19"/>
    <mergeCell ref="L19:M19"/>
    <mergeCell ref="O19:P19"/>
    <mergeCell ref="B20:F20"/>
    <mergeCell ref="I20:J20"/>
    <mergeCell ref="L20:M20"/>
    <mergeCell ref="O20:P20"/>
    <mergeCell ref="I21:J21"/>
    <mergeCell ref="L21:M21"/>
    <mergeCell ref="O21:P21"/>
    <mergeCell ref="I22:J22"/>
    <mergeCell ref="L22:M22"/>
    <mergeCell ref="O22:P22"/>
    <mergeCell ref="A30:P30"/>
    <mergeCell ref="L23:M23"/>
    <mergeCell ref="O23:P23"/>
    <mergeCell ref="L24:M24"/>
    <mergeCell ref="A26:P26"/>
    <mergeCell ref="A27:P27"/>
    <mergeCell ref="A29:P29"/>
  </mergeCells>
  <pageMargins left="0.7" right="0.7" top="0.75" bottom="0.75" header="0.3" footer="0.3"/>
  <pageSetup scale="4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CCC3-73BA-434F-9902-E540DE15C80E}">
  <sheetPr>
    <tabColor theme="5" tint="0.39997558519241921"/>
    <pageSetUpPr fitToPage="1"/>
  </sheetPr>
  <dimension ref="A1:S53"/>
  <sheetViews>
    <sheetView showGridLines="0" zoomScaleNormal="100" workbookViewId="0">
      <selection activeCell="A2" sqref="A2:Q2"/>
    </sheetView>
  </sheetViews>
  <sheetFormatPr baseColWidth="10" defaultColWidth="0" defaultRowHeight="15" customHeight="1" zeroHeight="1" x14ac:dyDescent="0.3"/>
  <cols>
    <col min="1" max="1" width="8.77734375" style="27" customWidth="1"/>
    <col min="2" max="2" width="14.6640625" style="27" customWidth="1"/>
    <col min="3" max="3" width="24.6640625" style="27" bestFit="1" customWidth="1"/>
    <col min="4" max="4" width="17.77734375" style="27" bestFit="1" customWidth="1"/>
    <col min="5" max="5" width="27.109375" style="27" customWidth="1"/>
    <col min="6" max="6" width="12.33203125" style="27" bestFit="1" customWidth="1"/>
    <col min="7" max="7" width="13.109375" style="27" bestFit="1" customWidth="1"/>
    <col min="8" max="8" width="19.109375" style="27" bestFit="1" customWidth="1"/>
    <col min="9" max="9" width="23.6640625" style="27" bestFit="1" customWidth="1"/>
    <col min="10" max="10" width="13" style="27" customWidth="1"/>
    <col min="11" max="11" width="16.6640625" style="27" bestFit="1" customWidth="1"/>
    <col min="12" max="12" width="23.33203125" style="27" bestFit="1" customWidth="1"/>
    <col min="13" max="13" width="17.33203125" style="27" bestFit="1" customWidth="1"/>
    <col min="14" max="14" width="17.33203125" style="27" customWidth="1"/>
    <col min="15" max="15" width="10.77734375" style="27" customWidth="1"/>
    <col min="16" max="16" width="39.33203125" style="27" bestFit="1" customWidth="1"/>
    <col min="17" max="17" width="4.109375" style="38" bestFit="1" customWidth="1"/>
    <col min="18" max="18" width="18" bestFit="1" customWidth="1"/>
    <col min="19" max="19" width="8.77734375" customWidth="1"/>
    <col min="20" max="16384" width="8.77734375" hidden="1"/>
  </cols>
  <sheetData>
    <row r="1" spans="1:18" ht="98.25" customHeight="1" thickBot="1" x14ac:dyDescent="0.35">
      <c r="C1" s="139" t="s">
        <v>12</v>
      </c>
      <c r="D1" s="139"/>
      <c r="E1" s="139"/>
      <c r="G1" s="18"/>
      <c r="H1" s="18" t="s">
        <v>13</v>
      </c>
      <c r="I1" s="117">
        <v>30</v>
      </c>
      <c r="J1" s="19" t="s">
        <v>14</v>
      </c>
      <c r="K1" s="118">
        <v>46239</v>
      </c>
      <c r="L1" s="19" t="s">
        <v>76</v>
      </c>
      <c r="M1" s="134" t="s">
        <v>132</v>
      </c>
      <c r="N1" s="118"/>
      <c r="P1" s="68" t="s">
        <v>56</v>
      </c>
      <c r="Q1" s="27"/>
    </row>
    <row r="2" spans="1:18" ht="51.75" customHeight="1" thickBot="1" x14ac:dyDescent="0.35">
      <c r="A2" s="144" t="s">
        <v>15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6"/>
    </row>
    <row r="3" spans="1:18" thickBot="1" x14ac:dyDescent="0.35">
      <c r="Q3" s="27"/>
    </row>
    <row r="4" spans="1:18" s="1" customFormat="1" ht="46.05" customHeight="1" thickBot="1" x14ac:dyDescent="0.35">
      <c r="A4" s="28"/>
      <c r="B4" s="140" t="s">
        <v>16</v>
      </c>
      <c r="C4" s="141"/>
      <c r="D4" s="28"/>
      <c r="E4" s="142" t="s">
        <v>19</v>
      </c>
      <c r="F4" s="143"/>
      <c r="G4" s="28"/>
      <c r="H4" s="140" t="s">
        <v>22</v>
      </c>
      <c r="I4" s="141"/>
      <c r="J4" s="3" t="s">
        <v>23</v>
      </c>
      <c r="K4" s="28"/>
      <c r="L4" s="140" t="s">
        <v>24</v>
      </c>
      <c r="M4" s="141"/>
      <c r="N4" s="28"/>
      <c r="O4" s="28"/>
      <c r="P4" s="161" t="s">
        <v>125</v>
      </c>
      <c r="Q4" s="28"/>
    </row>
    <row r="5" spans="1:18" ht="46.05" customHeight="1" x14ac:dyDescent="0.3">
      <c r="B5" s="20" t="s">
        <v>82</v>
      </c>
      <c r="C5" s="93">
        <v>4758</v>
      </c>
      <c r="E5" s="21" t="s">
        <v>55</v>
      </c>
      <c r="F5" s="96">
        <v>8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475.8</v>
      </c>
      <c r="P5" s="161"/>
      <c r="Q5" s="27"/>
    </row>
    <row r="6" spans="1:18" ht="46.05" customHeight="1" thickBot="1" x14ac:dyDescent="0.35">
      <c r="B6" s="39" t="s">
        <v>17</v>
      </c>
      <c r="C6" s="109">
        <f>C5*0.85</f>
        <v>4044.2999999999997</v>
      </c>
      <c r="E6" s="5" t="s">
        <v>20</v>
      </c>
      <c r="F6" s="97">
        <v>0.13</v>
      </c>
      <c r="H6" s="22" t="s">
        <v>4</v>
      </c>
      <c r="I6" s="101">
        <v>0.05</v>
      </c>
      <c r="J6" s="100">
        <f>IF(+C8*I6&lt;1,1,C8*I6)</f>
        <v>1</v>
      </c>
      <c r="L6" s="6" t="s">
        <v>23</v>
      </c>
      <c r="M6" s="105">
        <f>C8/D25</f>
        <v>0.10575683485218938</v>
      </c>
      <c r="P6" s="16" t="s">
        <v>2</v>
      </c>
      <c r="Q6" s="27"/>
    </row>
    <row r="7" spans="1:18" ht="46.05" customHeight="1" thickBot="1" x14ac:dyDescent="0.35">
      <c r="B7" s="40" t="s">
        <v>3</v>
      </c>
      <c r="C7" s="109">
        <f>+C5*0.15</f>
        <v>713.69999999999993</v>
      </c>
      <c r="E7" s="5" t="s">
        <v>21</v>
      </c>
      <c r="F7" s="94">
        <f>+F5*F6</f>
        <v>1.04</v>
      </c>
      <c r="H7" s="23" t="s">
        <v>5</v>
      </c>
      <c r="I7" s="102">
        <v>0.3</v>
      </c>
      <c r="J7" s="103">
        <f>IF(C8*I7&lt;1,1,C8*I7)</f>
        <v>1</v>
      </c>
      <c r="P7" s="107">
        <v>4758</v>
      </c>
      <c r="Q7" s="27"/>
    </row>
    <row r="8" spans="1:18" ht="46.05" customHeight="1" thickBot="1" x14ac:dyDescent="0.35">
      <c r="B8" s="24" t="s">
        <v>18</v>
      </c>
      <c r="C8" s="95">
        <f>+C5/P9</f>
        <v>1.0575683485218939</v>
      </c>
      <c r="E8" s="25" t="s">
        <v>83</v>
      </c>
      <c r="F8" s="98">
        <f>+C5*1.1</f>
        <v>5233.8</v>
      </c>
      <c r="H8" s="29"/>
      <c r="I8" s="172" t="s">
        <v>77</v>
      </c>
      <c r="J8" s="173"/>
      <c r="L8" s="140" t="s">
        <v>57</v>
      </c>
      <c r="M8" s="141"/>
      <c r="P8" s="17" t="s">
        <v>6</v>
      </c>
      <c r="Q8" s="27"/>
    </row>
    <row r="9" spans="1:18" ht="46.05" customHeight="1" thickBot="1" x14ac:dyDescent="0.35">
      <c r="C9"/>
      <c r="E9" s="172" t="s">
        <v>91</v>
      </c>
      <c r="F9" s="173"/>
      <c r="H9"/>
      <c r="I9"/>
      <c r="J9" s="30"/>
      <c r="L9" s="4" t="s">
        <v>75</v>
      </c>
      <c r="M9" s="93">
        <v>4758</v>
      </c>
      <c r="P9" s="108">
        <v>4499</v>
      </c>
      <c r="Q9" s="27"/>
    </row>
    <row r="10" spans="1:18" ht="46.05" customHeight="1" thickBot="1" x14ac:dyDescent="0.35">
      <c r="B10" s="28"/>
      <c r="C10" s="28"/>
      <c r="J10"/>
      <c r="P10" s="181" t="s">
        <v>26</v>
      </c>
      <c r="Q10" s="27"/>
    </row>
    <row r="11" spans="1:18" ht="46.05" customHeight="1" thickBot="1" x14ac:dyDescent="0.35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69"/>
      <c r="J11" s="169"/>
      <c r="K11" s="169"/>
      <c r="L11" s="169"/>
      <c r="M11" s="169"/>
      <c r="N11" s="119"/>
      <c r="P11" s="181"/>
      <c r="Q11" s="27"/>
    </row>
    <row r="12" spans="1:18" ht="46.05" customHeight="1" thickBot="1" x14ac:dyDescent="0.35">
      <c r="B12" s="42" t="s">
        <v>27</v>
      </c>
      <c r="C12" s="69">
        <v>4</v>
      </c>
      <c r="D12" s="70">
        <v>2</v>
      </c>
      <c r="E12" s="70">
        <v>2</v>
      </c>
      <c r="F12" s="70">
        <v>0</v>
      </c>
      <c r="G12" s="85">
        <v>0</v>
      </c>
      <c r="H12" s="86">
        <f>SUM(C12:G12)</f>
        <v>8</v>
      </c>
      <c r="I12" s="169"/>
      <c r="J12" s="169"/>
      <c r="K12" s="169"/>
      <c r="L12" s="169"/>
      <c r="M12" s="169"/>
      <c r="N12" s="119"/>
      <c r="O12"/>
      <c r="P12" s="16" t="s">
        <v>2</v>
      </c>
      <c r="Q12" s="27"/>
    </row>
    <row r="13" spans="1:18" ht="46.05" customHeight="1" thickBot="1" x14ac:dyDescent="0.35">
      <c r="B13" s="43" t="s">
        <v>28</v>
      </c>
      <c r="C13" s="87">
        <f>+C12/$H$12</f>
        <v>0.5</v>
      </c>
      <c r="D13" s="88">
        <f>+D12/$H$12</f>
        <v>0.25</v>
      </c>
      <c r="E13" s="88">
        <f>+E12/$H$12</f>
        <v>0.25</v>
      </c>
      <c r="F13" s="88">
        <f>+F12/$H$12</f>
        <v>0</v>
      </c>
      <c r="G13" s="88">
        <f>+G12/$H$12</f>
        <v>0</v>
      </c>
      <c r="H13" s="89"/>
      <c r="I13" s="169"/>
      <c r="J13" s="169"/>
      <c r="K13" s="169"/>
      <c r="L13" s="169"/>
      <c r="M13" s="169"/>
      <c r="N13" s="119"/>
      <c r="P13" s="107">
        <v>7162</v>
      </c>
      <c r="Q13" s="27"/>
    </row>
    <row r="14" spans="1:18" ht="46.05" customHeight="1" thickBot="1" x14ac:dyDescent="0.35">
      <c r="B14" s="44" t="s">
        <v>29</v>
      </c>
      <c r="C14" s="90">
        <f>+C13*$C$5</f>
        <v>2379</v>
      </c>
      <c r="D14" s="91">
        <f t="shared" ref="D14:G14" si="0">+D13*$C$5</f>
        <v>1189.5</v>
      </c>
      <c r="E14" s="91">
        <f t="shared" si="0"/>
        <v>1189.5</v>
      </c>
      <c r="F14" s="91">
        <f t="shared" si="0"/>
        <v>0</v>
      </c>
      <c r="G14" s="91">
        <f t="shared" si="0"/>
        <v>0</v>
      </c>
      <c r="H14" s="92">
        <f>+SUM(C14:G14)</f>
        <v>4758</v>
      </c>
      <c r="I14" s="169"/>
      <c r="J14" s="169"/>
      <c r="K14" s="169"/>
      <c r="L14" s="169"/>
      <c r="M14" s="169"/>
      <c r="N14" s="119"/>
      <c r="P14" s="17" t="s">
        <v>6</v>
      </c>
      <c r="Q14" s="27"/>
    </row>
    <row r="15" spans="1:18" ht="35.25" customHeight="1" thickBot="1" x14ac:dyDescent="0.35">
      <c r="D15" s="28"/>
      <c r="E15" s="28"/>
      <c r="F15" s="28"/>
      <c r="G15" s="28"/>
      <c r="H15" s="28"/>
      <c r="I15" s="28"/>
      <c r="J15" s="28"/>
      <c r="K15" s="28"/>
      <c r="L15" s="28"/>
      <c r="P15" s="108">
        <v>4712</v>
      </c>
      <c r="Q15" s="27"/>
    </row>
    <row r="16" spans="1:18" s="1" customFormat="1" ht="46.05" customHeight="1" thickBot="1" x14ac:dyDescent="0.35">
      <c r="A16" s="28"/>
      <c r="B16" s="163" t="s">
        <v>33</v>
      </c>
      <c r="C16" s="16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62" t="s">
        <v>97</v>
      </c>
      <c r="M16" s="162"/>
      <c r="N16" s="162"/>
      <c r="O16" s="162"/>
      <c r="P16" s="32"/>
      <c r="Q16" s="27"/>
      <c r="R16"/>
    </row>
    <row r="17" spans="1:19" s="26" customFormat="1" ht="46.05" customHeight="1" x14ac:dyDescent="0.3">
      <c r="A17" s="33"/>
      <c r="B17" s="165" t="s">
        <v>133</v>
      </c>
      <c r="C17" s="166"/>
      <c r="D17" s="132">
        <v>10</v>
      </c>
      <c r="E17" s="72">
        <f t="shared" ref="E17:E24" si="1">($C$5/$D$25)*D17</f>
        <v>4758</v>
      </c>
      <c r="F17" s="73">
        <f>IF((($C$8-$J$5)/$D$25)*D17&lt;1,1,((($C$8-$J$5)/$D$25)*D17))</f>
        <v>1</v>
      </c>
      <c r="G17" s="123"/>
      <c r="H17" s="74">
        <f t="shared" ref="H17:H24" si="2">IF(D17&gt;0,MAX(($J$6/$D$25)*D17,1),0)</f>
        <v>1</v>
      </c>
      <c r="I17" s="75">
        <f t="shared" ref="I17:I24" si="3">IF(D17&gt;0,MAX(($J$7/$D$25)*D17,1),0)</f>
        <v>1</v>
      </c>
      <c r="J17" s="34"/>
      <c r="K17" s="28"/>
      <c r="L17" s="162"/>
      <c r="M17" s="162"/>
      <c r="N17" s="162"/>
      <c r="O17" s="162"/>
      <c r="P17" s="32"/>
      <c r="Q17" s="27"/>
      <c r="R17"/>
    </row>
    <row r="18" spans="1:19" s="26" customFormat="1" ht="46.05" customHeight="1" x14ac:dyDescent="0.3">
      <c r="A18" s="33"/>
      <c r="B18" s="167"/>
      <c r="C18" s="168"/>
      <c r="D18" s="71"/>
      <c r="E18" s="76">
        <f t="shared" si="1"/>
        <v>0</v>
      </c>
      <c r="F18" s="77">
        <f t="shared" ref="F17:F24" si="4">IF((($C$8-$J$5)/$D$25)*D18&lt;1,1,((($C$8-$J$5)/$D$25)*D18))</f>
        <v>1</v>
      </c>
      <c r="G18" s="124"/>
      <c r="H18" s="78">
        <f t="shared" si="2"/>
        <v>0</v>
      </c>
      <c r="I18" s="79">
        <f t="shared" si="3"/>
        <v>0</v>
      </c>
      <c r="J18" s="34"/>
      <c r="K18" s="28"/>
      <c r="L18" s="162"/>
      <c r="M18" s="162"/>
      <c r="N18" s="162"/>
      <c r="O18" s="162"/>
      <c r="P18" s="32"/>
      <c r="Q18" s="27"/>
      <c r="R18"/>
    </row>
    <row r="19" spans="1:19" s="26" customFormat="1" ht="46.05" customHeight="1" x14ac:dyDescent="0.3">
      <c r="A19" s="33"/>
      <c r="B19" s="167"/>
      <c r="C19" s="168"/>
      <c r="D19" s="71"/>
      <c r="E19" s="76">
        <f t="shared" si="1"/>
        <v>0</v>
      </c>
      <c r="F19" s="77">
        <f t="shared" si="4"/>
        <v>1</v>
      </c>
      <c r="G19" s="124"/>
      <c r="H19" s="78">
        <f t="shared" si="2"/>
        <v>0</v>
      </c>
      <c r="I19" s="79">
        <f t="shared" si="3"/>
        <v>0</v>
      </c>
      <c r="J19" s="34"/>
      <c r="K19" s="28"/>
      <c r="L19" s="162"/>
      <c r="M19" s="162"/>
      <c r="N19" s="162"/>
      <c r="O19" s="162"/>
      <c r="P19" s="32"/>
      <c r="Q19" s="27"/>
      <c r="R19"/>
    </row>
    <row r="20" spans="1:19" s="26" customFormat="1" ht="46.05" customHeight="1" x14ac:dyDescent="0.3">
      <c r="A20" s="33"/>
      <c r="B20" s="167"/>
      <c r="C20" s="168"/>
      <c r="D20" s="71"/>
      <c r="E20" s="76">
        <f t="shared" si="1"/>
        <v>0</v>
      </c>
      <c r="F20" s="77">
        <f t="shared" si="4"/>
        <v>1</v>
      </c>
      <c r="G20" s="124"/>
      <c r="H20" s="78">
        <f t="shared" si="2"/>
        <v>0</v>
      </c>
      <c r="I20" s="79">
        <f t="shared" si="3"/>
        <v>0</v>
      </c>
      <c r="J20" s="34"/>
      <c r="K20" s="28"/>
      <c r="L20" s="162"/>
      <c r="M20" s="162"/>
      <c r="N20" s="162"/>
      <c r="O20" s="162"/>
      <c r="P20" s="32"/>
      <c r="Q20" s="27"/>
      <c r="R20"/>
    </row>
    <row r="21" spans="1:19" s="26" customFormat="1" ht="46.05" customHeight="1" x14ac:dyDescent="0.3">
      <c r="A21" s="33"/>
      <c r="B21" s="167"/>
      <c r="C21" s="168"/>
      <c r="D21" s="71"/>
      <c r="E21" s="76">
        <f t="shared" si="1"/>
        <v>0</v>
      </c>
      <c r="F21" s="77">
        <f t="shared" si="4"/>
        <v>1</v>
      </c>
      <c r="G21" s="124"/>
      <c r="H21" s="78">
        <f t="shared" si="2"/>
        <v>0</v>
      </c>
      <c r="I21" s="79">
        <f t="shared" si="3"/>
        <v>0</v>
      </c>
      <c r="J21" s="34"/>
      <c r="K21" s="28"/>
      <c r="L21" s="162"/>
      <c r="M21" s="162"/>
      <c r="N21" s="162"/>
      <c r="O21" s="162"/>
      <c r="P21" s="32"/>
      <c r="Q21" s="27"/>
      <c r="R21"/>
    </row>
    <row r="22" spans="1:19" s="26" customFormat="1" ht="46.05" customHeight="1" x14ac:dyDescent="0.3">
      <c r="A22" s="33"/>
      <c r="B22" s="167"/>
      <c r="C22" s="168"/>
      <c r="D22" s="71"/>
      <c r="E22" s="76">
        <f t="shared" si="1"/>
        <v>0</v>
      </c>
      <c r="F22" s="77">
        <f t="shared" si="4"/>
        <v>1</v>
      </c>
      <c r="G22" s="124"/>
      <c r="H22" s="78">
        <f t="shared" si="2"/>
        <v>0</v>
      </c>
      <c r="I22" s="79">
        <f t="shared" si="3"/>
        <v>0</v>
      </c>
      <c r="J22" s="34"/>
      <c r="K22" s="28"/>
      <c r="L22" s="162"/>
      <c r="M22" s="162"/>
      <c r="N22" s="162"/>
      <c r="O22" s="162"/>
      <c r="P22" s="32"/>
      <c r="Q22" s="27"/>
      <c r="R22"/>
    </row>
    <row r="23" spans="1:19" s="26" customFormat="1" ht="46.05" customHeight="1" x14ac:dyDescent="0.3">
      <c r="A23" s="33"/>
      <c r="B23" s="170"/>
      <c r="C23" s="171"/>
      <c r="D23" s="10"/>
      <c r="E23" s="76">
        <f t="shared" si="1"/>
        <v>0</v>
      </c>
      <c r="F23" s="77">
        <f t="shared" si="4"/>
        <v>1</v>
      </c>
      <c r="G23" s="124"/>
      <c r="H23" s="78">
        <f t="shared" si="2"/>
        <v>0</v>
      </c>
      <c r="I23" s="79">
        <f t="shared" si="3"/>
        <v>0</v>
      </c>
      <c r="J23" s="34"/>
      <c r="K23" s="28"/>
      <c r="L23" s="162"/>
      <c r="M23" s="162"/>
      <c r="N23" s="162"/>
      <c r="O23" s="162"/>
      <c r="P23" s="32"/>
      <c r="Q23" s="27"/>
      <c r="R23"/>
    </row>
    <row r="24" spans="1:19" s="26" customFormat="1" ht="46.05" customHeight="1" thickBot="1" x14ac:dyDescent="0.35">
      <c r="A24" s="33"/>
      <c r="B24" s="170"/>
      <c r="C24" s="171"/>
      <c r="D24" s="10"/>
      <c r="E24" s="76">
        <f t="shared" si="1"/>
        <v>0</v>
      </c>
      <c r="F24" s="77">
        <f t="shared" si="4"/>
        <v>1</v>
      </c>
      <c r="G24" s="124"/>
      <c r="H24" s="78">
        <f t="shared" si="2"/>
        <v>0</v>
      </c>
      <c r="I24" s="79">
        <f t="shared" si="3"/>
        <v>0</v>
      </c>
      <c r="J24" s="34"/>
      <c r="K24" s="28"/>
      <c r="L24" s="162"/>
      <c r="M24" s="162"/>
      <c r="N24" s="162"/>
      <c r="O24" s="162"/>
      <c r="P24" s="32"/>
      <c r="Q24" s="27"/>
      <c r="R24"/>
    </row>
    <row r="25" spans="1:19" s="26" customFormat="1" ht="46.05" customHeight="1" thickBot="1" x14ac:dyDescent="0.35">
      <c r="A25" s="33"/>
      <c r="B25" s="174" t="s">
        <v>0</v>
      </c>
      <c r="C25" s="175" t="s">
        <v>0</v>
      </c>
      <c r="D25" s="84">
        <f>+SUM(D17:D24)</f>
        <v>10</v>
      </c>
      <c r="E25" s="80">
        <f>SUM(E17:E24)</f>
        <v>4758</v>
      </c>
      <c r="F25" s="81">
        <f>SUM(F17:F24)</f>
        <v>8</v>
      </c>
      <c r="G25" s="81">
        <f>SUM(G17:G24)</f>
        <v>0</v>
      </c>
      <c r="H25" s="82">
        <f>+J6</f>
        <v>1</v>
      </c>
      <c r="I25" s="83">
        <f>+J7</f>
        <v>1</v>
      </c>
      <c r="J25" s="35"/>
      <c r="K25" s="28"/>
      <c r="L25" s="162"/>
      <c r="M25" s="162"/>
      <c r="N25" s="162"/>
      <c r="O25" s="162"/>
      <c r="P25" s="32"/>
      <c r="Q25" s="27"/>
      <c r="R25"/>
    </row>
    <row r="26" spans="1:19" ht="56.55" customHeight="1" thickBot="1" x14ac:dyDescent="0.35">
      <c r="F26" s="28"/>
      <c r="Q26" s="27"/>
    </row>
    <row r="27" spans="1:19" ht="62.25" customHeight="1" thickBot="1" x14ac:dyDescent="0.35">
      <c r="A27" s="144" t="s">
        <v>39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6"/>
    </row>
    <row r="28" spans="1:19" ht="15.45" customHeight="1" thickBot="1" x14ac:dyDescent="0.35">
      <c r="Q28" s="27"/>
    </row>
    <row r="29" spans="1:19" ht="31.8" thickBot="1" x14ac:dyDescent="0.35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 x14ac:dyDescent="0.35">
      <c r="A30" s="33"/>
      <c r="B30" s="158" t="s">
        <v>46</v>
      </c>
      <c r="C30" s="159" t="s">
        <v>0</v>
      </c>
      <c r="D30" s="115">
        <f>+C5</f>
        <v>4758</v>
      </c>
      <c r="E30" s="116">
        <v>25600</v>
      </c>
      <c r="F30" s="115">
        <f>+C8</f>
        <v>1.0575683485218939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5" customHeight="1" thickBot="1" x14ac:dyDescent="0.35">
      <c r="Q31" s="27"/>
    </row>
    <row r="32" spans="1:19" s="1" customFormat="1" ht="58.05" customHeight="1" thickBot="1" x14ac:dyDescent="0.35">
      <c r="A32" s="28"/>
      <c r="B32" s="163" t="s">
        <v>47</v>
      </c>
      <c r="C32" s="164"/>
      <c r="D32" s="14" t="s">
        <v>34</v>
      </c>
      <c r="E32" s="152" t="s">
        <v>48</v>
      </c>
      <c r="F32" s="153"/>
      <c r="G32" s="154" t="s">
        <v>49</v>
      </c>
      <c r="H32" s="155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05" customHeight="1" x14ac:dyDescent="0.3">
      <c r="A33" s="33"/>
      <c r="B33" s="179" t="str">
        <f t="shared" ref="B33:B40" si="5">B17</f>
        <v>VIVIANA</v>
      </c>
      <c r="C33" s="180"/>
      <c r="D33" s="133">
        <f t="shared" ref="D33:D40" si="6">D17</f>
        <v>10</v>
      </c>
      <c r="E33" s="160"/>
      <c r="F33" s="160"/>
      <c r="G33" s="156"/>
      <c r="H33" s="157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05" customHeight="1" x14ac:dyDescent="0.3">
      <c r="A34" s="33"/>
      <c r="B34" s="150">
        <f t="shared" si="5"/>
        <v>0</v>
      </c>
      <c r="C34" s="151"/>
      <c r="D34" s="112">
        <f t="shared" si="6"/>
        <v>0</v>
      </c>
      <c r="E34" s="147"/>
      <c r="F34" s="147"/>
      <c r="G34" s="148"/>
      <c r="H34" s="149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05" customHeight="1" x14ac:dyDescent="0.3">
      <c r="A35" s="33"/>
      <c r="B35" s="150">
        <f t="shared" si="5"/>
        <v>0</v>
      </c>
      <c r="C35" s="151"/>
      <c r="D35" s="112">
        <f t="shared" si="6"/>
        <v>0</v>
      </c>
      <c r="E35" s="147"/>
      <c r="F35" s="147"/>
      <c r="G35" s="148"/>
      <c r="H35" s="149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05" customHeight="1" x14ac:dyDescent="0.3">
      <c r="A36" s="33"/>
      <c r="B36" s="150">
        <f t="shared" si="5"/>
        <v>0</v>
      </c>
      <c r="C36" s="151"/>
      <c r="D36" s="112">
        <f t="shared" si="6"/>
        <v>0</v>
      </c>
      <c r="E36" s="147"/>
      <c r="F36" s="147"/>
      <c r="G36" s="148"/>
      <c r="H36" s="149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05" customHeight="1" x14ac:dyDescent="0.3">
      <c r="A37" s="33"/>
      <c r="B37" s="150">
        <f t="shared" si="5"/>
        <v>0</v>
      </c>
      <c r="C37" s="151"/>
      <c r="D37" s="112">
        <f t="shared" si="6"/>
        <v>0</v>
      </c>
      <c r="E37" s="147"/>
      <c r="F37" s="147"/>
      <c r="G37" s="148"/>
      <c r="H37" s="149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05" customHeight="1" x14ac:dyDescent="0.3">
      <c r="A38" s="33"/>
      <c r="B38" s="150">
        <f t="shared" si="5"/>
        <v>0</v>
      </c>
      <c r="C38" s="151"/>
      <c r="D38" s="112">
        <f t="shared" si="6"/>
        <v>0</v>
      </c>
      <c r="E38" s="147"/>
      <c r="F38" s="147"/>
      <c r="G38" s="148"/>
      <c r="H38" s="149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05" customHeight="1" x14ac:dyDescent="0.3">
      <c r="A39" s="33"/>
      <c r="B39" s="150">
        <f t="shared" si="5"/>
        <v>0</v>
      </c>
      <c r="C39" s="151"/>
      <c r="D39" s="112">
        <f t="shared" si="6"/>
        <v>0</v>
      </c>
      <c r="E39" s="147"/>
      <c r="F39" s="147"/>
      <c r="G39" s="148"/>
      <c r="H39" s="149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05" customHeight="1" x14ac:dyDescent="0.3">
      <c r="A40" s="33"/>
      <c r="B40" s="150">
        <f t="shared" si="5"/>
        <v>0</v>
      </c>
      <c r="C40" s="151"/>
      <c r="D40" s="112">
        <f t="shared" si="6"/>
        <v>0</v>
      </c>
      <c r="E40" s="147"/>
      <c r="F40" s="147"/>
      <c r="G40" s="148"/>
      <c r="H40" s="149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05" customHeight="1" x14ac:dyDescent="0.3">
      <c r="A41" s="33"/>
      <c r="B41" s="150" t="s">
        <v>0</v>
      </c>
      <c r="C41" s="151"/>
      <c r="D41" s="112">
        <f>SUM(D33:D40)</f>
        <v>10</v>
      </c>
      <c r="E41" s="178">
        <f t="shared" ref="E41:H41" si="9">SUM(E33:E40)</f>
        <v>0</v>
      </c>
      <c r="F41" s="178">
        <f t="shared" si="9"/>
        <v>0</v>
      </c>
      <c r="G41" s="176">
        <f t="shared" si="9"/>
        <v>0</v>
      </c>
      <c r="H41" s="177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05" hidden="1" customHeight="1" thickTop="1" x14ac:dyDescent="0.3">
      <c r="A42"/>
    </row>
    <row r="43" spans="1:19" ht="14.4" x14ac:dyDescent="0.3"/>
    <row r="44" spans="1:19" ht="14.4" x14ac:dyDescent="0.3"/>
    <row r="45" spans="1:19" ht="14.4" x14ac:dyDescent="0.3"/>
    <row r="46" spans="1:19" ht="14.4" x14ac:dyDescent="0.3"/>
    <row r="47" spans="1:19" ht="14.4" x14ac:dyDescent="0.3"/>
    <row r="48" spans="1:19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</sheetData>
  <sheetProtection selectLockedCells="1"/>
  <mergeCells count="55">
    <mergeCell ref="C1:E1"/>
    <mergeCell ref="A2:Q2"/>
    <mergeCell ref="B4:C4"/>
    <mergeCell ref="E4:F4"/>
    <mergeCell ref="H4:I4"/>
    <mergeCell ref="L4:M4"/>
    <mergeCell ref="P4:P5"/>
    <mergeCell ref="B16:C16"/>
    <mergeCell ref="L16:O25"/>
    <mergeCell ref="B17:C17"/>
    <mergeCell ref="B18:C18"/>
    <mergeCell ref="B19:C19"/>
    <mergeCell ref="I8:J8"/>
    <mergeCell ref="L8:M8"/>
    <mergeCell ref="E9:F9"/>
    <mergeCell ref="P10:P11"/>
    <mergeCell ref="I11:M14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B34:C34"/>
    <mergeCell ref="E34:F34"/>
    <mergeCell ref="G34:H34"/>
    <mergeCell ref="B35:C35"/>
    <mergeCell ref="E35:F35"/>
    <mergeCell ref="G35:H35"/>
    <mergeCell ref="B36:C36"/>
    <mergeCell ref="E36:F36"/>
    <mergeCell ref="G36:H36"/>
    <mergeCell ref="B37:C37"/>
    <mergeCell ref="E37:F37"/>
    <mergeCell ref="G37:H37"/>
    <mergeCell ref="B38:C38"/>
    <mergeCell ref="E38:F38"/>
    <mergeCell ref="G38:H38"/>
    <mergeCell ref="B39:C39"/>
    <mergeCell ref="E39:F39"/>
    <mergeCell ref="G39:H39"/>
    <mergeCell ref="B40:C40"/>
    <mergeCell ref="E40:F40"/>
    <mergeCell ref="G40:H40"/>
    <mergeCell ref="B41:C41"/>
    <mergeCell ref="E41:F41"/>
    <mergeCell ref="G41:H41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3AC8-B2DC-674E-8DF2-BABD75D12B55}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 x14ac:dyDescent="0.3"/>
  <cols>
    <col min="1" max="1" width="16" style="2" customWidth="1"/>
    <col min="2" max="2" width="18.77734375" style="2" bestFit="1" customWidth="1"/>
    <col min="3" max="4" width="10.77734375" style="2" customWidth="1"/>
    <col min="5" max="5" width="22.109375" style="2" customWidth="1"/>
    <col min="6" max="6" width="15.6640625" style="2" customWidth="1"/>
    <col min="7" max="7" width="14" style="2" customWidth="1"/>
    <col min="8" max="12" width="10.77734375" style="2" customWidth="1"/>
    <col min="13" max="14" width="11.33203125" style="2" customWidth="1"/>
    <col min="15" max="15" width="10.77734375" style="2" customWidth="1"/>
    <col min="16" max="16" width="15.33203125" style="2" customWidth="1"/>
    <col min="17" max="18" width="10.77734375" style="2" customWidth="1"/>
    <col min="19" max="16384" width="10.77734375" style="2" hidden="1"/>
  </cols>
  <sheetData>
    <row r="1" spans="1:16" ht="79.95" customHeight="1" thickBot="1" x14ac:dyDescent="0.35">
      <c r="A1" s="48"/>
      <c r="B1" s="218" t="s">
        <v>59</v>
      </c>
      <c r="C1" s="218"/>
      <c r="D1" s="218"/>
      <c r="E1" s="218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219" t="s">
        <v>56</v>
      </c>
      <c r="P1" s="220"/>
    </row>
    <row r="2" spans="1:16" ht="48" thickBot="1" x14ac:dyDescent="0.35">
      <c r="A2" s="144" t="s">
        <v>60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6"/>
    </row>
    <row r="3" spans="1:16" thickBot="1" x14ac:dyDescent="0.35"/>
    <row r="4" spans="1:16" ht="39.450000000000003" customHeight="1" x14ac:dyDescent="0.3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221" t="s">
        <v>73</v>
      </c>
      <c r="J4" s="222"/>
      <c r="K4" s="222"/>
      <c r="L4" s="222"/>
      <c r="M4" s="222"/>
      <c r="N4" s="222"/>
      <c r="O4" s="222"/>
      <c r="P4" s="223"/>
    </row>
    <row r="5" spans="1:16" ht="37.950000000000003" customHeight="1" thickBot="1" x14ac:dyDescent="0.35">
      <c r="B5" s="57">
        <f>DOMINGO!D25</f>
        <v>10</v>
      </c>
      <c r="C5" s="58">
        <f>DOMINGO!C5</f>
        <v>4758</v>
      </c>
      <c r="D5" s="58">
        <f>DOMINGO!C8</f>
        <v>1.0305393112410657</v>
      </c>
      <c r="E5" s="58">
        <f>DOMINGO!M5</f>
        <v>475.8</v>
      </c>
      <c r="F5" s="59">
        <f>DOMINGO!M6</f>
        <v>0.10305393112410657</v>
      </c>
      <c r="G5" s="65"/>
      <c r="H5"/>
      <c r="I5" s="224"/>
      <c r="J5" s="225"/>
      <c r="K5" s="225"/>
      <c r="L5" s="225"/>
      <c r="M5" s="225"/>
      <c r="N5" s="225"/>
      <c r="O5" s="225"/>
      <c r="P5" s="226"/>
    </row>
    <row r="6" spans="1:16" thickBot="1" x14ac:dyDescent="0.35"/>
    <row r="7" spans="1:16" ht="28.8" x14ac:dyDescent="0.3">
      <c r="B7" s="215" t="s">
        <v>65</v>
      </c>
      <c r="C7" s="210"/>
      <c r="D7" s="210"/>
      <c r="E7" s="210"/>
      <c r="F7" s="211"/>
      <c r="G7" s="64"/>
      <c r="I7" s="215" t="s">
        <v>66</v>
      </c>
      <c r="J7" s="210"/>
      <c r="K7" s="210"/>
      <c r="L7" s="210"/>
      <c r="M7" s="210"/>
      <c r="N7" s="210"/>
      <c r="O7" s="210"/>
      <c r="P7" s="211"/>
    </row>
    <row r="8" spans="1:16" ht="16.95" customHeight="1" thickBot="1" x14ac:dyDescent="0.35">
      <c r="B8" s="212"/>
      <c r="C8" s="213"/>
      <c r="D8" s="213"/>
      <c r="E8" s="213"/>
      <c r="F8" s="214"/>
      <c r="G8" s="64"/>
      <c r="I8" s="212"/>
      <c r="J8" s="213"/>
      <c r="K8" s="213"/>
      <c r="L8" s="213"/>
      <c r="M8" s="213"/>
      <c r="N8" s="213"/>
      <c r="O8" s="213"/>
      <c r="P8" s="214"/>
    </row>
    <row r="9" spans="1:16" ht="61.95" customHeight="1" x14ac:dyDescent="0.3">
      <c r="B9" s="200" t="s">
        <v>71</v>
      </c>
      <c r="C9" s="201"/>
      <c r="D9" s="201"/>
      <c r="E9" s="201"/>
      <c r="F9" s="201"/>
      <c r="G9" s="62"/>
      <c r="I9" s="216" t="s">
        <v>80</v>
      </c>
      <c r="J9" s="217"/>
      <c r="K9" s="217"/>
      <c r="L9" s="217"/>
      <c r="M9" s="217"/>
      <c r="N9" s="217"/>
      <c r="O9" s="217"/>
      <c r="P9" s="217"/>
    </row>
    <row r="10" spans="1:16" ht="49.95" customHeight="1" x14ac:dyDescent="0.3">
      <c r="B10" s="202" t="s">
        <v>78</v>
      </c>
      <c r="C10" s="203"/>
      <c r="D10" s="203"/>
      <c r="E10" s="203"/>
      <c r="F10" s="203"/>
      <c r="G10" s="61"/>
      <c r="I10" s="204" t="s">
        <v>72</v>
      </c>
      <c r="J10" s="204"/>
      <c r="K10" s="204"/>
      <c r="L10" s="204"/>
      <c r="M10" s="204"/>
      <c r="N10" s="204"/>
      <c r="O10" s="204"/>
      <c r="P10" s="204"/>
    </row>
    <row r="11" spans="1:16" ht="61.95" customHeight="1" x14ac:dyDescent="0.3">
      <c r="B11" s="202" t="s">
        <v>79</v>
      </c>
      <c r="C11" s="202"/>
      <c r="D11" s="202"/>
      <c r="E11" s="202"/>
      <c r="F11" s="202"/>
      <c r="I11" s="204" t="s">
        <v>81</v>
      </c>
      <c r="J11" s="204"/>
      <c r="K11" s="204"/>
      <c r="L11" s="204"/>
      <c r="M11" s="204"/>
      <c r="N11" s="204"/>
      <c r="O11" s="204"/>
      <c r="P11" s="204"/>
    </row>
    <row r="12" spans="1:16" ht="49.95" customHeight="1" x14ac:dyDescent="0.3">
      <c r="I12" s="204" t="s">
        <v>70</v>
      </c>
      <c r="J12" s="204"/>
      <c r="K12" s="204"/>
      <c r="L12" s="204"/>
      <c r="M12" s="204"/>
      <c r="N12" s="204"/>
      <c r="O12" s="204"/>
      <c r="P12" s="204"/>
    </row>
    <row r="13" spans="1:16" ht="49.95" customHeight="1" thickBot="1" x14ac:dyDescent="0.35">
      <c r="I13" s="204"/>
      <c r="J13" s="204"/>
      <c r="K13" s="204"/>
      <c r="L13" s="204"/>
      <c r="M13" s="204"/>
      <c r="N13" s="204"/>
      <c r="O13" s="204"/>
      <c r="P13" s="204"/>
    </row>
    <row r="14" spans="1:16" ht="15" customHeight="1" x14ac:dyDescent="0.3">
      <c r="B14" s="209" t="s">
        <v>98</v>
      </c>
      <c r="C14" s="210"/>
      <c r="D14" s="210"/>
      <c r="E14" s="210"/>
      <c r="F14" s="211"/>
      <c r="G14" s="64"/>
      <c r="I14" s="215" t="s">
        <v>67</v>
      </c>
      <c r="J14" s="210"/>
      <c r="K14" s="210"/>
      <c r="L14" s="210"/>
      <c r="M14" s="210"/>
      <c r="N14" s="210"/>
      <c r="O14" s="210"/>
      <c r="P14" s="211"/>
    </row>
    <row r="15" spans="1:16" ht="16.05" customHeight="1" thickBot="1" x14ac:dyDescent="0.35">
      <c r="B15" s="212"/>
      <c r="C15" s="213"/>
      <c r="D15" s="213"/>
      <c r="E15" s="213"/>
      <c r="F15" s="214"/>
      <c r="G15" s="64"/>
      <c r="I15" s="212"/>
      <c r="J15" s="213"/>
      <c r="K15" s="213"/>
      <c r="L15" s="213"/>
      <c r="M15" s="213"/>
      <c r="N15" s="213"/>
      <c r="O15" s="213"/>
      <c r="P15" s="214"/>
    </row>
    <row r="16" spans="1:16" ht="46.05" customHeight="1" x14ac:dyDescent="0.3">
      <c r="B16" s="207" t="s">
        <v>87</v>
      </c>
      <c r="C16" s="208"/>
      <c r="D16" s="208"/>
      <c r="E16" s="208"/>
      <c r="F16" s="208"/>
      <c r="I16" s="189" t="s">
        <v>101</v>
      </c>
      <c r="J16" s="190"/>
      <c r="K16" s="60"/>
      <c r="L16" s="189" t="s">
        <v>104</v>
      </c>
      <c r="M16" s="190"/>
      <c r="N16" s="60"/>
      <c r="O16" s="189" t="s">
        <v>117</v>
      </c>
      <c r="P16" s="190"/>
    </row>
    <row r="17" spans="1:16" ht="54" customHeight="1" x14ac:dyDescent="0.3">
      <c r="B17" s="206" t="s">
        <v>88</v>
      </c>
      <c r="C17" s="205"/>
      <c r="D17" s="205"/>
      <c r="E17" s="205"/>
      <c r="F17" s="205"/>
      <c r="I17" s="184" t="s">
        <v>102</v>
      </c>
      <c r="J17" s="185"/>
      <c r="K17" s="63"/>
      <c r="L17" s="184" t="s">
        <v>105</v>
      </c>
      <c r="M17" s="185"/>
      <c r="N17" s="63"/>
      <c r="O17" s="184" t="s">
        <v>118</v>
      </c>
      <c r="P17" s="185"/>
    </row>
    <row r="18" spans="1:16" ht="46.05" customHeight="1" x14ac:dyDescent="0.3">
      <c r="B18" s="206" t="s">
        <v>89</v>
      </c>
      <c r="C18" s="205"/>
      <c r="D18" s="205"/>
      <c r="E18" s="205"/>
      <c r="F18" s="205"/>
      <c r="I18" s="182" t="s">
        <v>106</v>
      </c>
      <c r="J18" s="183"/>
      <c r="K18" s="66"/>
      <c r="L18" s="182" t="s">
        <v>110</v>
      </c>
      <c r="M18" s="183"/>
      <c r="N18" s="66"/>
      <c r="O18" s="186" t="s">
        <v>119</v>
      </c>
      <c r="P18" s="183"/>
    </row>
    <row r="19" spans="1:16" ht="46.05" customHeight="1" x14ac:dyDescent="0.3">
      <c r="B19" s="206" t="s">
        <v>90</v>
      </c>
      <c r="C19" s="205"/>
      <c r="D19" s="205"/>
      <c r="E19" s="205"/>
      <c r="F19" s="205"/>
      <c r="I19" s="182" t="s">
        <v>103</v>
      </c>
      <c r="J19" s="183"/>
      <c r="K19" s="66"/>
      <c r="L19" s="187" t="s">
        <v>111</v>
      </c>
      <c r="M19" s="187"/>
      <c r="N19" s="66"/>
      <c r="O19" s="182" t="s">
        <v>120</v>
      </c>
      <c r="P19" s="183"/>
    </row>
    <row r="20" spans="1:16" ht="46.05" customHeight="1" x14ac:dyDescent="0.3">
      <c r="B20" s="204" t="s">
        <v>74</v>
      </c>
      <c r="C20" s="205"/>
      <c r="D20" s="205"/>
      <c r="E20" s="205"/>
      <c r="F20" s="205"/>
      <c r="I20" s="182" t="s">
        <v>107</v>
      </c>
      <c r="J20" s="183"/>
      <c r="K20" s="66"/>
      <c r="L20" s="182" t="s">
        <v>112</v>
      </c>
      <c r="M20" s="183"/>
      <c r="N20" s="66"/>
      <c r="O20" s="182" t="s">
        <v>121</v>
      </c>
      <c r="P20" s="183"/>
    </row>
    <row r="21" spans="1:16" ht="46.05" customHeight="1" x14ac:dyDescent="0.3">
      <c r="I21" s="182" t="s">
        <v>108</v>
      </c>
      <c r="J21" s="183"/>
      <c r="K21" s="66"/>
      <c r="L21" s="182" t="s">
        <v>113</v>
      </c>
      <c r="M21" s="183"/>
      <c r="N21" s="66"/>
      <c r="O21" s="182" t="s">
        <v>122</v>
      </c>
      <c r="P21" s="183"/>
    </row>
    <row r="22" spans="1:16" ht="46.05" customHeight="1" x14ac:dyDescent="0.3">
      <c r="I22" s="182" t="s">
        <v>109</v>
      </c>
      <c r="J22" s="183"/>
      <c r="K22" s="66"/>
      <c r="L22" s="188" t="s">
        <v>114</v>
      </c>
      <c r="M22" s="188"/>
      <c r="N22" s="67"/>
      <c r="O22" s="182" t="s">
        <v>123</v>
      </c>
      <c r="P22" s="183"/>
    </row>
    <row r="23" spans="1:16" ht="46.05" customHeight="1" x14ac:dyDescent="0.3">
      <c r="K23" s="66"/>
      <c r="L23" s="182" t="s">
        <v>115</v>
      </c>
      <c r="M23" s="183"/>
      <c r="N23" s="66"/>
      <c r="O23" s="182" t="s">
        <v>124</v>
      </c>
      <c r="P23" s="183"/>
    </row>
    <row r="24" spans="1:16" ht="46.05" customHeight="1" x14ac:dyDescent="0.3">
      <c r="L24" s="182" t="s">
        <v>116</v>
      </c>
      <c r="M24" s="183"/>
      <c r="N24" s="66"/>
    </row>
    <row r="25" spans="1:16" ht="46.05" customHeight="1" thickBot="1" x14ac:dyDescent="0.35"/>
    <row r="26" spans="1:16" ht="29.4" thickBot="1" x14ac:dyDescent="0.35">
      <c r="A26" s="191" t="s">
        <v>68</v>
      </c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3"/>
    </row>
    <row r="27" spans="1:16" ht="127.95" customHeight="1" thickBot="1" x14ac:dyDescent="0.35">
      <c r="A27" s="194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6"/>
    </row>
    <row r="28" spans="1:16" thickBot="1" x14ac:dyDescent="0.35"/>
    <row r="29" spans="1:16" ht="29.4" thickBot="1" x14ac:dyDescent="0.35">
      <c r="A29" s="191" t="s">
        <v>69</v>
      </c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3"/>
    </row>
    <row r="30" spans="1:16" ht="127.95" customHeight="1" thickBot="1" x14ac:dyDescent="0.35">
      <c r="A30" s="197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9"/>
    </row>
    <row r="31" spans="1:16" ht="14.4" x14ac:dyDescent="0.3"/>
    <row r="32" spans="1:16" ht="14.4" x14ac:dyDescent="0.3"/>
  </sheetData>
  <mergeCells count="48">
    <mergeCell ref="B1:E1"/>
    <mergeCell ref="O1:P1"/>
    <mergeCell ref="A2:P2"/>
    <mergeCell ref="I4:P5"/>
    <mergeCell ref="B7:F8"/>
    <mergeCell ref="I7:P8"/>
    <mergeCell ref="B9:F9"/>
    <mergeCell ref="I9:P9"/>
    <mergeCell ref="B10:F10"/>
    <mergeCell ref="I10:P10"/>
    <mergeCell ref="B11:F11"/>
    <mergeCell ref="I11:P11"/>
    <mergeCell ref="I12:P13"/>
    <mergeCell ref="B14:F15"/>
    <mergeCell ref="I14:P15"/>
    <mergeCell ref="B16:F16"/>
    <mergeCell ref="I16:J16"/>
    <mergeCell ref="L16:M16"/>
    <mergeCell ref="O16:P16"/>
    <mergeCell ref="B17:F17"/>
    <mergeCell ref="I17:J17"/>
    <mergeCell ref="L17:M17"/>
    <mergeCell ref="O17:P17"/>
    <mergeCell ref="B18:F18"/>
    <mergeCell ref="I18:J18"/>
    <mergeCell ref="L18:M18"/>
    <mergeCell ref="O18:P18"/>
    <mergeCell ref="B19:F19"/>
    <mergeCell ref="I19:J19"/>
    <mergeCell ref="L19:M19"/>
    <mergeCell ref="O19:P19"/>
    <mergeCell ref="B20:F20"/>
    <mergeCell ref="I20:J20"/>
    <mergeCell ref="L20:M20"/>
    <mergeCell ref="O20:P20"/>
    <mergeCell ref="I21:J21"/>
    <mergeCell ref="L21:M21"/>
    <mergeCell ref="O21:P21"/>
    <mergeCell ref="I22:J22"/>
    <mergeCell ref="L22:M22"/>
    <mergeCell ref="O22:P22"/>
    <mergeCell ref="A30:P30"/>
    <mergeCell ref="L23:M23"/>
    <mergeCell ref="O23:P23"/>
    <mergeCell ref="L24:M24"/>
    <mergeCell ref="A26:P26"/>
    <mergeCell ref="A27:P27"/>
    <mergeCell ref="A29:P29"/>
  </mergeCells>
  <pageMargins left="0.7" right="0.7" top="0.75" bottom="0.75" header="0.3" footer="0.3"/>
  <pageSetup scale="4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A29C-B717-784B-9746-2B875E1240FC}">
  <sheetPr>
    <tabColor theme="5" tint="0.39997558519241921"/>
    <pageSetUpPr fitToPage="1"/>
  </sheetPr>
  <dimension ref="A1:S53"/>
  <sheetViews>
    <sheetView showGridLines="0" topLeftCell="G26" zoomScale="113" zoomScaleNormal="113" workbookViewId="0">
      <selection activeCell="O33" activeCellId="1" sqref="J33:M35 O33:P36"/>
    </sheetView>
  </sheetViews>
  <sheetFormatPr baseColWidth="10" defaultColWidth="0" defaultRowHeight="15" customHeight="1" zeroHeight="1" x14ac:dyDescent="0.3"/>
  <cols>
    <col min="1" max="1" width="8.77734375" style="27" customWidth="1"/>
    <col min="2" max="2" width="14.6640625" style="27" customWidth="1"/>
    <col min="3" max="3" width="24.6640625" style="27" bestFit="1" customWidth="1"/>
    <col min="4" max="4" width="17.77734375" style="27" bestFit="1" customWidth="1"/>
    <col min="5" max="5" width="27.109375" style="27" customWidth="1"/>
    <col min="6" max="6" width="12.33203125" style="27" bestFit="1" customWidth="1"/>
    <col min="7" max="7" width="13.109375" style="27" bestFit="1" customWidth="1"/>
    <col min="8" max="8" width="19.109375" style="27" bestFit="1" customWidth="1"/>
    <col min="9" max="9" width="23.6640625" style="27" bestFit="1" customWidth="1"/>
    <col min="10" max="10" width="13" style="27" customWidth="1"/>
    <col min="11" max="11" width="16.6640625" style="27" bestFit="1" customWidth="1"/>
    <col min="12" max="12" width="23.33203125" style="27" bestFit="1" customWidth="1"/>
    <col min="13" max="13" width="17.33203125" style="27" bestFit="1" customWidth="1"/>
    <col min="14" max="14" width="17.33203125" style="27" customWidth="1"/>
    <col min="15" max="15" width="10.77734375" style="27" customWidth="1"/>
    <col min="16" max="16" width="39.33203125" style="27" bestFit="1" customWidth="1"/>
    <col min="17" max="17" width="4.109375" style="38" bestFit="1" customWidth="1"/>
    <col min="18" max="18" width="18" bestFit="1" customWidth="1"/>
    <col min="19" max="19" width="8.77734375" customWidth="1"/>
    <col min="20" max="16384" width="8.77734375" hidden="1"/>
  </cols>
  <sheetData>
    <row r="1" spans="1:18" ht="98.25" customHeight="1" thickBot="1" x14ac:dyDescent="0.35">
      <c r="C1" s="139" t="s">
        <v>12</v>
      </c>
      <c r="D1" s="139"/>
      <c r="E1" s="139"/>
      <c r="G1" s="18"/>
      <c r="H1" s="18" t="s">
        <v>13</v>
      </c>
      <c r="I1" s="117">
        <v>29</v>
      </c>
      <c r="J1" s="19" t="s">
        <v>14</v>
      </c>
      <c r="K1" s="118"/>
      <c r="L1" s="19" t="s">
        <v>76</v>
      </c>
      <c r="M1" s="134" t="s">
        <v>126</v>
      </c>
      <c r="N1" s="118"/>
      <c r="P1" s="68" t="s">
        <v>56</v>
      </c>
      <c r="Q1" s="27"/>
    </row>
    <row r="2" spans="1:18" ht="51.75" customHeight="1" thickBot="1" x14ac:dyDescent="0.35">
      <c r="A2" s="144" t="s">
        <v>15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6"/>
    </row>
    <row r="3" spans="1:18" thickBot="1" x14ac:dyDescent="0.35">
      <c r="Q3" s="27"/>
    </row>
    <row r="4" spans="1:18" s="1" customFormat="1" ht="46.05" customHeight="1" thickBot="1" x14ac:dyDescent="0.35">
      <c r="A4" s="28"/>
      <c r="B4" s="140" t="s">
        <v>16</v>
      </c>
      <c r="C4" s="141"/>
      <c r="D4" s="28"/>
      <c r="E4" s="142" t="s">
        <v>19</v>
      </c>
      <c r="F4" s="143"/>
      <c r="G4" s="28"/>
      <c r="H4" s="140" t="s">
        <v>22</v>
      </c>
      <c r="I4" s="141"/>
      <c r="J4" s="3" t="s">
        <v>23</v>
      </c>
      <c r="K4" s="28"/>
      <c r="L4" s="140" t="s">
        <v>24</v>
      </c>
      <c r="M4" s="141"/>
      <c r="N4" s="28"/>
      <c r="O4" s="28"/>
      <c r="P4" s="161" t="s">
        <v>125</v>
      </c>
      <c r="Q4" s="28"/>
    </row>
    <row r="5" spans="1:18" ht="46.05" customHeight="1" x14ac:dyDescent="0.3">
      <c r="B5" s="20" t="s">
        <v>82</v>
      </c>
      <c r="C5" s="93"/>
      <c r="E5" s="21" t="s">
        <v>55</v>
      </c>
      <c r="F5" s="96"/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0</v>
      </c>
      <c r="P5" s="161"/>
      <c r="Q5" s="27"/>
    </row>
    <row r="6" spans="1:18" ht="46.05" customHeight="1" thickBot="1" x14ac:dyDescent="0.35">
      <c r="B6" s="39" t="s">
        <v>17</v>
      </c>
      <c r="C6" s="109">
        <f>C5*0.85</f>
        <v>0</v>
      </c>
      <c r="E6" s="5" t="s">
        <v>20</v>
      </c>
      <c r="F6" s="97"/>
      <c r="H6" s="22" t="s">
        <v>4</v>
      </c>
      <c r="I6" s="101">
        <v>0.05</v>
      </c>
      <c r="J6" s="100" t="e">
        <f>IF(+C8*I6&lt;1,1,C8*I6)</f>
        <v>#DIV/0!</v>
      </c>
      <c r="L6" s="6" t="s">
        <v>23</v>
      </c>
      <c r="M6" s="105" t="e">
        <f>C8/D25</f>
        <v>#DIV/0!</v>
      </c>
      <c r="P6" s="16" t="s">
        <v>2</v>
      </c>
      <c r="Q6" s="27"/>
    </row>
    <row r="7" spans="1:18" ht="46.05" customHeight="1" thickBot="1" x14ac:dyDescent="0.35">
      <c r="B7" s="40" t="s">
        <v>3</v>
      </c>
      <c r="C7" s="109">
        <f>+C5*0.15</f>
        <v>0</v>
      </c>
      <c r="E7" s="5" t="s">
        <v>21</v>
      </c>
      <c r="F7" s="94">
        <f>+F5*F6</f>
        <v>0</v>
      </c>
      <c r="H7" s="23" t="s">
        <v>5</v>
      </c>
      <c r="I7" s="102">
        <v>0.3</v>
      </c>
      <c r="J7" s="103" t="e">
        <f>IF(C8*I7&lt;1,1,C8*I7)</f>
        <v>#DIV/0!</v>
      </c>
      <c r="P7" s="107"/>
      <c r="Q7" s="27"/>
    </row>
    <row r="8" spans="1:18" ht="46.05" customHeight="1" thickBot="1" x14ac:dyDescent="0.35">
      <c r="B8" s="24" t="s">
        <v>18</v>
      </c>
      <c r="C8" s="95" t="e">
        <f>+C5/P9</f>
        <v>#DIV/0!</v>
      </c>
      <c r="E8" s="25" t="s">
        <v>83</v>
      </c>
      <c r="F8" s="98">
        <f>+C5*1.1</f>
        <v>0</v>
      </c>
      <c r="H8" s="29"/>
      <c r="I8" s="172" t="s">
        <v>77</v>
      </c>
      <c r="J8" s="173"/>
      <c r="L8" s="140" t="s">
        <v>57</v>
      </c>
      <c r="M8" s="141"/>
      <c r="P8" s="17" t="s">
        <v>6</v>
      </c>
      <c r="Q8" s="27"/>
    </row>
    <row r="9" spans="1:18" ht="46.05" customHeight="1" thickBot="1" x14ac:dyDescent="0.35">
      <c r="C9"/>
      <c r="E9" s="172" t="s">
        <v>91</v>
      </c>
      <c r="F9" s="173"/>
      <c r="H9"/>
      <c r="I9"/>
      <c r="J9" s="30"/>
      <c r="L9" s="4" t="s">
        <v>75</v>
      </c>
      <c r="M9" s="106"/>
      <c r="P9" s="108"/>
      <c r="Q9" s="27"/>
    </row>
    <row r="10" spans="1:18" ht="46.05" customHeight="1" thickBot="1" x14ac:dyDescent="0.35">
      <c r="B10" s="28"/>
      <c r="C10" s="28"/>
      <c r="J10"/>
      <c r="P10" s="181" t="s">
        <v>26</v>
      </c>
      <c r="Q10" s="27"/>
    </row>
    <row r="11" spans="1:18" ht="46.05" customHeight="1" thickBot="1" x14ac:dyDescent="0.35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69"/>
      <c r="J11" s="169"/>
      <c r="K11" s="169"/>
      <c r="L11" s="169"/>
      <c r="M11" s="169"/>
      <c r="N11" s="119"/>
      <c r="P11" s="181"/>
      <c r="Q11" s="27"/>
    </row>
    <row r="12" spans="1:18" ht="46.05" customHeight="1" thickBot="1" x14ac:dyDescent="0.35">
      <c r="B12" s="42" t="s">
        <v>27</v>
      </c>
      <c r="C12" s="69"/>
      <c r="D12" s="70"/>
      <c r="E12" s="70"/>
      <c r="F12" s="70"/>
      <c r="G12" s="85"/>
      <c r="H12" s="86">
        <f>SUM(C12:G12)</f>
        <v>0</v>
      </c>
      <c r="I12" s="169"/>
      <c r="J12" s="169"/>
      <c r="K12" s="169"/>
      <c r="L12" s="169"/>
      <c r="M12" s="169"/>
      <c r="N12" s="119"/>
      <c r="O12"/>
      <c r="P12" s="16" t="s">
        <v>2</v>
      </c>
      <c r="Q12" s="27"/>
    </row>
    <row r="13" spans="1:18" ht="46.05" customHeight="1" thickBot="1" x14ac:dyDescent="0.35">
      <c r="B13" s="43" t="s">
        <v>28</v>
      </c>
      <c r="C13" s="87" t="e">
        <f>+C12/$H$12</f>
        <v>#DIV/0!</v>
      </c>
      <c r="D13" s="88" t="e">
        <f>+D12/$H$12</f>
        <v>#DIV/0!</v>
      </c>
      <c r="E13" s="88" t="e">
        <f>+E12/$H$12</f>
        <v>#DIV/0!</v>
      </c>
      <c r="F13" s="88" t="e">
        <f>+F12/$H$12</f>
        <v>#DIV/0!</v>
      </c>
      <c r="G13" s="88" t="e">
        <f>+G12/$H$12</f>
        <v>#DIV/0!</v>
      </c>
      <c r="H13" s="89"/>
      <c r="I13" s="169"/>
      <c r="J13" s="169"/>
      <c r="K13" s="169"/>
      <c r="L13" s="169"/>
      <c r="M13" s="169"/>
      <c r="N13" s="119"/>
      <c r="P13" s="107"/>
      <c r="Q13" s="27"/>
    </row>
    <row r="14" spans="1:18" ht="46.05" customHeight="1" thickBot="1" x14ac:dyDescent="0.35">
      <c r="B14" s="44" t="s">
        <v>29</v>
      </c>
      <c r="C14" s="90" t="e">
        <f>+C13*$C$5</f>
        <v>#DIV/0!</v>
      </c>
      <c r="D14" s="91" t="e">
        <f t="shared" ref="D14:G14" si="0">+D13*$C$5</f>
        <v>#DIV/0!</v>
      </c>
      <c r="E14" s="91" t="e">
        <f t="shared" si="0"/>
        <v>#DIV/0!</v>
      </c>
      <c r="F14" s="91" t="e">
        <f t="shared" si="0"/>
        <v>#DIV/0!</v>
      </c>
      <c r="G14" s="91" t="e">
        <f t="shared" si="0"/>
        <v>#DIV/0!</v>
      </c>
      <c r="H14" s="92" t="e">
        <f>+SUM(C14:G14)</f>
        <v>#DIV/0!</v>
      </c>
      <c r="I14" s="169"/>
      <c r="J14" s="169"/>
      <c r="K14" s="169"/>
      <c r="L14" s="169"/>
      <c r="M14" s="169"/>
      <c r="N14" s="119"/>
      <c r="P14" s="17" t="s">
        <v>6</v>
      </c>
      <c r="Q14" s="27"/>
    </row>
    <row r="15" spans="1:18" ht="35.25" customHeight="1" thickBot="1" x14ac:dyDescent="0.35">
      <c r="D15" s="28"/>
      <c r="E15" s="28"/>
      <c r="F15" s="28"/>
      <c r="G15" s="28"/>
      <c r="H15" s="28"/>
      <c r="I15" s="28"/>
      <c r="J15" s="28"/>
      <c r="K15" s="28"/>
      <c r="L15" s="28"/>
      <c r="P15" s="108"/>
      <c r="Q15" s="27"/>
    </row>
    <row r="16" spans="1:18" s="1" customFormat="1" ht="46.05" customHeight="1" thickBot="1" x14ac:dyDescent="0.35">
      <c r="A16" s="28"/>
      <c r="B16" s="163" t="s">
        <v>33</v>
      </c>
      <c r="C16" s="16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62" t="s">
        <v>97</v>
      </c>
      <c r="M16" s="162"/>
      <c r="N16" s="162"/>
      <c r="O16" s="162"/>
      <c r="P16" s="32"/>
      <c r="Q16" s="27"/>
      <c r="R16"/>
    </row>
    <row r="17" spans="1:19" s="26" customFormat="1" ht="46.05" customHeight="1" x14ac:dyDescent="0.3">
      <c r="A17" s="33"/>
      <c r="B17" s="165" t="s">
        <v>93</v>
      </c>
      <c r="C17" s="166"/>
      <c r="D17" s="132">
        <v>3.5</v>
      </c>
      <c r="E17" s="72">
        <f t="shared" ref="E17:E24" si="1">($C$5/$D$25)*D17</f>
        <v>0</v>
      </c>
      <c r="F17" s="73" t="e">
        <f t="shared" ref="F17:F24" si="2">IF((($C$8-$J$5)/$D$25)*D17&lt;1,1,((($C$8-$J$5)/$D$25)*D17))</f>
        <v>#DIV/0!</v>
      </c>
      <c r="G17" s="123"/>
      <c r="H17" s="74" t="e">
        <f t="shared" ref="H17:H24" si="3">IF(D17&gt;0,MAX(($J$6/$D$25)*D17,1),0)</f>
        <v>#DIV/0!</v>
      </c>
      <c r="I17" s="75" t="e">
        <f t="shared" ref="I17:I24" si="4">IF(D17&gt;0,MAX(($J$7/$D$25)*D17,1),0)</f>
        <v>#DIV/0!</v>
      </c>
      <c r="J17" s="34"/>
      <c r="K17" s="28"/>
      <c r="L17" s="162"/>
      <c r="M17" s="162"/>
      <c r="N17" s="162"/>
      <c r="O17" s="162"/>
      <c r="P17" s="32"/>
      <c r="Q17" s="27"/>
      <c r="R17"/>
    </row>
    <row r="18" spans="1:19" s="26" customFormat="1" ht="46.05" customHeight="1" x14ac:dyDescent="0.3">
      <c r="A18" s="33"/>
      <c r="B18" s="167" t="s">
        <v>94</v>
      </c>
      <c r="C18" s="168"/>
      <c r="D18" s="71">
        <v>7</v>
      </c>
      <c r="E18" s="76">
        <f t="shared" si="1"/>
        <v>0</v>
      </c>
      <c r="F18" s="77" t="e">
        <f t="shared" si="2"/>
        <v>#DIV/0!</v>
      </c>
      <c r="G18" s="124"/>
      <c r="H18" s="78" t="e">
        <f t="shared" si="3"/>
        <v>#DIV/0!</v>
      </c>
      <c r="I18" s="79" t="e">
        <f t="shared" si="4"/>
        <v>#DIV/0!</v>
      </c>
      <c r="J18" s="34"/>
      <c r="K18" s="28"/>
      <c r="L18" s="162"/>
      <c r="M18" s="162"/>
      <c r="N18" s="162"/>
      <c r="O18" s="162"/>
      <c r="P18" s="32"/>
      <c r="Q18" s="27"/>
      <c r="R18"/>
    </row>
    <row r="19" spans="1:19" s="26" customFormat="1" ht="46.05" customHeight="1" x14ac:dyDescent="0.3">
      <c r="A19" s="33"/>
      <c r="B19" s="167" t="s">
        <v>95</v>
      </c>
      <c r="C19" s="168"/>
      <c r="D19" s="71">
        <v>7</v>
      </c>
      <c r="E19" s="76">
        <f t="shared" si="1"/>
        <v>0</v>
      </c>
      <c r="F19" s="77" t="e">
        <f t="shared" si="2"/>
        <v>#DIV/0!</v>
      </c>
      <c r="G19" s="124"/>
      <c r="H19" s="78" t="e">
        <f t="shared" si="3"/>
        <v>#DIV/0!</v>
      </c>
      <c r="I19" s="79" t="e">
        <f t="shared" si="4"/>
        <v>#DIV/0!</v>
      </c>
      <c r="J19" s="34"/>
      <c r="K19" s="28"/>
      <c r="L19" s="162"/>
      <c r="M19" s="162"/>
      <c r="N19" s="162"/>
      <c r="O19" s="162"/>
      <c r="P19" s="32"/>
      <c r="Q19" s="27"/>
      <c r="R19"/>
    </row>
    <row r="20" spans="1:19" s="26" customFormat="1" ht="46.05" customHeight="1" x14ac:dyDescent="0.3">
      <c r="A20" s="33"/>
      <c r="B20" s="167" t="s">
        <v>96</v>
      </c>
      <c r="C20" s="168"/>
      <c r="D20" s="71">
        <v>7</v>
      </c>
      <c r="E20" s="76">
        <f t="shared" si="1"/>
        <v>0</v>
      </c>
      <c r="F20" s="77" t="e">
        <f t="shared" si="2"/>
        <v>#DIV/0!</v>
      </c>
      <c r="G20" s="124"/>
      <c r="H20" s="78" t="e">
        <f t="shared" si="3"/>
        <v>#DIV/0!</v>
      </c>
      <c r="I20" s="79" t="e">
        <f t="shared" si="4"/>
        <v>#DIV/0!</v>
      </c>
      <c r="J20" s="34"/>
      <c r="K20" s="28"/>
      <c r="L20" s="162"/>
      <c r="M20" s="162"/>
      <c r="N20" s="162"/>
      <c r="O20" s="162"/>
      <c r="P20" s="32"/>
      <c r="Q20" s="27"/>
      <c r="R20"/>
    </row>
    <row r="21" spans="1:19" s="26" customFormat="1" ht="46.05" customHeight="1" x14ac:dyDescent="0.3">
      <c r="A21" s="33"/>
      <c r="B21" s="167"/>
      <c r="C21" s="168"/>
      <c r="D21" s="71"/>
      <c r="E21" s="76">
        <f t="shared" si="1"/>
        <v>0</v>
      </c>
      <c r="F21" s="77" t="e">
        <f t="shared" si="2"/>
        <v>#DIV/0!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62"/>
      <c r="M21" s="162"/>
      <c r="N21" s="162"/>
      <c r="O21" s="162"/>
      <c r="P21" s="32"/>
      <c r="Q21" s="27"/>
      <c r="R21"/>
    </row>
    <row r="22" spans="1:19" s="26" customFormat="1" ht="46.05" customHeight="1" x14ac:dyDescent="0.3">
      <c r="A22" s="33"/>
      <c r="B22" s="167"/>
      <c r="C22" s="168"/>
      <c r="D22" s="71"/>
      <c r="E22" s="76">
        <f t="shared" si="1"/>
        <v>0</v>
      </c>
      <c r="F22" s="77" t="e">
        <f t="shared" si="2"/>
        <v>#DIV/0!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62"/>
      <c r="M22" s="162"/>
      <c r="N22" s="162"/>
      <c r="O22" s="162"/>
      <c r="P22" s="32"/>
      <c r="Q22" s="27"/>
      <c r="R22"/>
    </row>
    <row r="23" spans="1:19" s="26" customFormat="1" ht="46.05" customHeight="1" x14ac:dyDescent="0.3">
      <c r="A23" s="33"/>
      <c r="B23" s="170"/>
      <c r="C23" s="171"/>
      <c r="D23" s="10"/>
      <c r="E23" s="76">
        <f t="shared" si="1"/>
        <v>0</v>
      </c>
      <c r="F23" s="77" t="e">
        <f t="shared" si="2"/>
        <v>#DIV/0!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62"/>
      <c r="M23" s="162"/>
      <c r="N23" s="162"/>
      <c r="O23" s="162"/>
      <c r="P23" s="32"/>
      <c r="Q23" s="27"/>
      <c r="R23"/>
    </row>
    <row r="24" spans="1:19" s="26" customFormat="1" ht="46.05" customHeight="1" thickBot="1" x14ac:dyDescent="0.35">
      <c r="A24" s="33"/>
      <c r="B24" s="170"/>
      <c r="C24" s="171"/>
      <c r="D24" s="10"/>
      <c r="E24" s="76">
        <f t="shared" si="1"/>
        <v>0</v>
      </c>
      <c r="F24" s="77" t="e">
        <f t="shared" si="2"/>
        <v>#DIV/0!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62"/>
      <c r="M24" s="162"/>
      <c r="N24" s="162"/>
      <c r="O24" s="162"/>
      <c r="P24" s="32"/>
      <c r="Q24" s="27"/>
      <c r="R24"/>
    </row>
    <row r="25" spans="1:19" s="26" customFormat="1" ht="46.05" customHeight="1" thickBot="1" x14ac:dyDescent="0.35">
      <c r="A25" s="33"/>
      <c r="B25" s="174" t="s">
        <v>0</v>
      </c>
      <c r="C25" s="175" t="s">
        <v>0</v>
      </c>
      <c r="D25" s="84">
        <f>+SUM(D17:D24)</f>
        <v>24.5</v>
      </c>
      <c r="E25" s="80">
        <f>SUM(E17:E24)</f>
        <v>0</v>
      </c>
      <c r="F25" s="81" t="e">
        <f>SUM(F17:F24)</f>
        <v>#DIV/0!</v>
      </c>
      <c r="G25" s="81">
        <f>SUM(G17:G24)</f>
        <v>0</v>
      </c>
      <c r="H25" s="82" t="e">
        <f>+J6</f>
        <v>#DIV/0!</v>
      </c>
      <c r="I25" s="83" t="e">
        <f>+J7</f>
        <v>#DIV/0!</v>
      </c>
      <c r="J25" s="35"/>
      <c r="K25" s="28"/>
      <c r="L25" s="162"/>
      <c r="M25" s="162"/>
      <c r="N25" s="162"/>
      <c r="O25" s="162"/>
      <c r="P25" s="32"/>
      <c r="Q25" s="27"/>
      <c r="R25"/>
    </row>
    <row r="26" spans="1:19" ht="56.55" customHeight="1" thickBot="1" x14ac:dyDescent="0.35">
      <c r="F26" s="28"/>
      <c r="Q26" s="27"/>
    </row>
    <row r="27" spans="1:19" ht="62.25" customHeight="1" thickBot="1" x14ac:dyDescent="0.35">
      <c r="A27" s="144" t="s">
        <v>39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6"/>
    </row>
    <row r="28" spans="1:19" ht="15.45" customHeight="1" thickBot="1" x14ac:dyDescent="0.35">
      <c r="Q28" s="27"/>
    </row>
    <row r="29" spans="1:19" ht="31.8" thickBot="1" x14ac:dyDescent="0.35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 x14ac:dyDescent="0.35">
      <c r="A30" s="33"/>
      <c r="B30" s="158" t="s">
        <v>46</v>
      </c>
      <c r="C30" s="159" t="s">
        <v>0</v>
      </c>
      <c r="D30" s="115">
        <f>+C5</f>
        <v>0</v>
      </c>
      <c r="E30" s="116">
        <v>25600</v>
      </c>
      <c r="F30" s="115" t="e">
        <f>+C8</f>
        <v>#DIV/0!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5" customHeight="1" thickBot="1" x14ac:dyDescent="0.35">
      <c r="Q31" s="27"/>
    </row>
    <row r="32" spans="1:19" s="1" customFormat="1" ht="58.05" customHeight="1" thickBot="1" x14ac:dyDescent="0.35">
      <c r="A32" s="28"/>
      <c r="B32" s="163" t="s">
        <v>47</v>
      </c>
      <c r="C32" s="164"/>
      <c r="D32" s="14" t="s">
        <v>34</v>
      </c>
      <c r="E32" s="152" t="s">
        <v>48</v>
      </c>
      <c r="F32" s="153"/>
      <c r="G32" s="154" t="s">
        <v>49</v>
      </c>
      <c r="H32" s="155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05" customHeight="1" x14ac:dyDescent="0.3">
      <c r="A33" s="33"/>
      <c r="B33" s="179" t="str">
        <f t="shared" ref="B33:B40" si="5">B17</f>
        <v>ELIAS</v>
      </c>
      <c r="C33" s="180"/>
      <c r="D33" s="133">
        <f t="shared" ref="D33:D40" si="6">D17</f>
        <v>3.5</v>
      </c>
      <c r="E33" s="160"/>
      <c r="F33" s="160"/>
      <c r="G33" s="156"/>
      <c r="H33" s="157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05" customHeight="1" x14ac:dyDescent="0.3">
      <c r="A34" s="33"/>
      <c r="B34" s="150" t="str">
        <f t="shared" si="5"/>
        <v>CATALINA</v>
      </c>
      <c r="C34" s="151"/>
      <c r="D34" s="112">
        <f t="shared" si="6"/>
        <v>7</v>
      </c>
      <c r="E34" s="147"/>
      <c r="F34" s="147"/>
      <c r="G34" s="148"/>
      <c r="H34" s="149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05" customHeight="1" x14ac:dyDescent="0.3">
      <c r="A35" s="33"/>
      <c r="B35" s="150" t="str">
        <f t="shared" si="5"/>
        <v>VICTOR</v>
      </c>
      <c r="C35" s="151"/>
      <c r="D35" s="112">
        <f t="shared" si="6"/>
        <v>7</v>
      </c>
      <c r="E35" s="147"/>
      <c r="F35" s="147"/>
      <c r="G35" s="148"/>
      <c r="H35" s="149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05" customHeight="1" x14ac:dyDescent="0.3">
      <c r="A36" s="33"/>
      <c r="B36" s="150" t="str">
        <f t="shared" si="5"/>
        <v>JIMENA</v>
      </c>
      <c r="C36" s="151"/>
      <c r="D36" s="112">
        <f t="shared" si="6"/>
        <v>7</v>
      </c>
      <c r="E36" s="147"/>
      <c r="F36" s="147"/>
      <c r="G36" s="148"/>
      <c r="H36" s="149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05" customHeight="1" x14ac:dyDescent="0.3">
      <c r="A37" s="33"/>
      <c r="B37" s="150">
        <f t="shared" si="5"/>
        <v>0</v>
      </c>
      <c r="C37" s="151"/>
      <c r="D37" s="112">
        <f t="shared" si="6"/>
        <v>0</v>
      </c>
      <c r="E37" s="147"/>
      <c r="F37" s="147"/>
      <c r="G37" s="148"/>
      <c r="H37" s="149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05" customHeight="1" x14ac:dyDescent="0.3">
      <c r="A38" s="33"/>
      <c r="B38" s="150">
        <f t="shared" si="5"/>
        <v>0</v>
      </c>
      <c r="C38" s="151"/>
      <c r="D38" s="112">
        <f t="shared" si="6"/>
        <v>0</v>
      </c>
      <c r="E38" s="147"/>
      <c r="F38" s="147"/>
      <c r="G38" s="148"/>
      <c r="H38" s="149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05" customHeight="1" x14ac:dyDescent="0.3">
      <c r="A39" s="33"/>
      <c r="B39" s="150">
        <f t="shared" si="5"/>
        <v>0</v>
      </c>
      <c r="C39" s="151"/>
      <c r="D39" s="112">
        <f t="shared" si="6"/>
        <v>0</v>
      </c>
      <c r="E39" s="147"/>
      <c r="F39" s="147"/>
      <c r="G39" s="148"/>
      <c r="H39" s="149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05" customHeight="1" x14ac:dyDescent="0.3">
      <c r="A40" s="33"/>
      <c r="B40" s="150">
        <f t="shared" si="5"/>
        <v>0</v>
      </c>
      <c r="C40" s="151"/>
      <c r="D40" s="112">
        <f t="shared" si="6"/>
        <v>0</v>
      </c>
      <c r="E40" s="147"/>
      <c r="F40" s="147"/>
      <c r="G40" s="148"/>
      <c r="H40" s="149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05" customHeight="1" x14ac:dyDescent="0.3">
      <c r="A41" s="33"/>
      <c r="B41" s="150" t="s">
        <v>0</v>
      </c>
      <c r="C41" s="151"/>
      <c r="D41" s="112">
        <f>SUM(D33:D40)</f>
        <v>24.5</v>
      </c>
      <c r="E41" s="178">
        <f t="shared" ref="E41:H41" si="9">SUM(E33:E40)</f>
        <v>0</v>
      </c>
      <c r="F41" s="178">
        <f t="shared" si="9"/>
        <v>0</v>
      </c>
      <c r="G41" s="176">
        <f t="shared" si="9"/>
        <v>0</v>
      </c>
      <c r="H41" s="177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05" hidden="1" customHeight="1" thickTop="1" x14ac:dyDescent="0.3">
      <c r="A42"/>
    </row>
    <row r="43" spans="1:19" ht="14.4" x14ac:dyDescent="0.3"/>
    <row r="44" spans="1:19" ht="14.4" x14ac:dyDescent="0.3"/>
    <row r="45" spans="1:19" ht="14.4" x14ac:dyDescent="0.3"/>
    <row r="46" spans="1:19" ht="14.4" x14ac:dyDescent="0.3"/>
    <row r="47" spans="1:19" ht="14.4" x14ac:dyDescent="0.3"/>
    <row r="48" spans="1:19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</sheetData>
  <sheetProtection selectLockedCells="1"/>
  <mergeCells count="55">
    <mergeCell ref="C1:E1"/>
    <mergeCell ref="A2:Q2"/>
    <mergeCell ref="B4:C4"/>
    <mergeCell ref="E4:F4"/>
    <mergeCell ref="H4:I4"/>
    <mergeCell ref="L4:M4"/>
    <mergeCell ref="P4:P5"/>
    <mergeCell ref="B16:C16"/>
    <mergeCell ref="L16:O25"/>
    <mergeCell ref="B17:C17"/>
    <mergeCell ref="B18:C18"/>
    <mergeCell ref="B19:C19"/>
    <mergeCell ref="I8:J8"/>
    <mergeCell ref="L8:M8"/>
    <mergeCell ref="E9:F9"/>
    <mergeCell ref="P10:P11"/>
    <mergeCell ref="I11:M14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B34:C34"/>
    <mergeCell ref="E34:F34"/>
    <mergeCell ref="G34:H34"/>
    <mergeCell ref="B35:C35"/>
    <mergeCell ref="E35:F35"/>
    <mergeCell ref="G35:H35"/>
    <mergeCell ref="B36:C36"/>
    <mergeCell ref="E36:F36"/>
    <mergeCell ref="G36:H36"/>
    <mergeCell ref="B37:C37"/>
    <mergeCell ref="E37:F37"/>
    <mergeCell ref="G37:H37"/>
    <mergeCell ref="B38:C38"/>
    <mergeCell ref="E38:F38"/>
    <mergeCell ref="G38:H38"/>
    <mergeCell ref="B39:C39"/>
    <mergeCell ref="E39:F39"/>
    <mergeCell ref="G39:H39"/>
    <mergeCell ref="B40:C40"/>
    <mergeCell ref="E40:F40"/>
    <mergeCell ref="G40:H40"/>
    <mergeCell ref="B41:C41"/>
    <mergeCell ref="E41:F41"/>
    <mergeCell ref="G41:H41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29BA-DDDF-DE4C-8D56-2623D62CF454}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 x14ac:dyDescent="0.3"/>
  <cols>
    <col min="1" max="1" width="16" style="2" customWidth="1"/>
    <col min="2" max="2" width="18.77734375" style="2" bestFit="1" customWidth="1"/>
    <col min="3" max="4" width="10.77734375" style="2" customWidth="1"/>
    <col min="5" max="5" width="22.109375" style="2" customWidth="1"/>
    <col min="6" max="6" width="15.6640625" style="2" customWidth="1"/>
    <col min="7" max="7" width="14" style="2" customWidth="1"/>
    <col min="8" max="12" width="10.77734375" style="2" customWidth="1"/>
    <col min="13" max="14" width="11.33203125" style="2" customWidth="1"/>
    <col min="15" max="15" width="10.77734375" style="2" customWidth="1"/>
    <col min="16" max="16" width="15.33203125" style="2" customWidth="1"/>
    <col min="17" max="18" width="10.77734375" style="2" customWidth="1"/>
    <col min="19" max="16384" width="10.77734375" style="2" hidden="1"/>
  </cols>
  <sheetData>
    <row r="1" spans="1:16" ht="79.95" customHeight="1" thickBot="1" x14ac:dyDescent="0.35">
      <c r="A1" s="48"/>
      <c r="B1" s="218" t="s">
        <v>59</v>
      </c>
      <c r="C1" s="218"/>
      <c r="D1" s="218"/>
      <c r="E1" s="218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219" t="s">
        <v>56</v>
      </c>
      <c r="P1" s="220"/>
    </row>
    <row r="2" spans="1:16" ht="48" thickBot="1" x14ac:dyDescent="0.35">
      <c r="A2" s="144" t="s">
        <v>60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6"/>
    </row>
    <row r="3" spans="1:16" thickBot="1" x14ac:dyDescent="0.35"/>
    <row r="4" spans="1:16" ht="39.450000000000003" customHeight="1" x14ac:dyDescent="0.3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221" t="s">
        <v>73</v>
      </c>
      <c r="J4" s="222"/>
      <c r="K4" s="222"/>
      <c r="L4" s="222"/>
      <c r="M4" s="222"/>
      <c r="N4" s="222"/>
      <c r="O4" s="222"/>
      <c r="P4" s="223"/>
    </row>
    <row r="5" spans="1:16" ht="37.950000000000003" customHeight="1" thickBot="1" x14ac:dyDescent="0.35">
      <c r="B5" s="57">
        <f>DOMINGO!D25</f>
        <v>10</v>
      </c>
      <c r="C5" s="58">
        <f>DOMINGO!C5</f>
        <v>4758</v>
      </c>
      <c r="D5" s="58">
        <f>DOMINGO!C8</f>
        <v>1.0305393112410657</v>
      </c>
      <c r="E5" s="58">
        <f>DOMINGO!M5</f>
        <v>475.8</v>
      </c>
      <c r="F5" s="59">
        <f>DOMINGO!M6</f>
        <v>0.10305393112410657</v>
      </c>
      <c r="G5" s="65"/>
      <c r="H5"/>
      <c r="I5" s="224"/>
      <c r="J5" s="225"/>
      <c r="K5" s="225"/>
      <c r="L5" s="225"/>
      <c r="M5" s="225"/>
      <c r="N5" s="225"/>
      <c r="O5" s="225"/>
      <c r="P5" s="226"/>
    </row>
    <row r="6" spans="1:16" thickBot="1" x14ac:dyDescent="0.35"/>
    <row r="7" spans="1:16" ht="28.8" x14ac:dyDescent="0.3">
      <c r="B7" s="215" t="s">
        <v>65</v>
      </c>
      <c r="C7" s="210"/>
      <c r="D7" s="210"/>
      <c r="E7" s="210"/>
      <c r="F7" s="211"/>
      <c r="G7" s="64"/>
      <c r="I7" s="215" t="s">
        <v>66</v>
      </c>
      <c r="J7" s="210"/>
      <c r="K7" s="210"/>
      <c r="L7" s="210"/>
      <c r="M7" s="210"/>
      <c r="N7" s="210"/>
      <c r="O7" s="210"/>
      <c r="P7" s="211"/>
    </row>
    <row r="8" spans="1:16" ht="16.95" customHeight="1" thickBot="1" x14ac:dyDescent="0.35">
      <c r="B8" s="212"/>
      <c r="C8" s="213"/>
      <c r="D8" s="213"/>
      <c r="E8" s="213"/>
      <c r="F8" s="214"/>
      <c r="G8" s="64"/>
      <c r="I8" s="212"/>
      <c r="J8" s="213"/>
      <c r="K8" s="213"/>
      <c r="L8" s="213"/>
      <c r="M8" s="213"/>
      <c r="N8" s="213"/>
      <c r="O8" s="213"/>
      <c r="P8" s="214"/>
    </row>
    <row r="9" spans="1:16" ht="61.95" customHeight="1" x14ac:dyDescent="0.3">
      <c r="B9" s="200" t="s">
        <v>71</v>
      </c>
      <c r="C9" s="201"/>
      <c r="D9" s="201"/>
      <c r="E9" s="201"/>
      <c r="F9" s="201"/>
      <c r="G9" s="62"/>
      <c r="I9" s="216" t="s">
        <v>80</v>
      </c>
      <c r="J9" s="217"/>
      <c r="K9" s="217"/>
      <c r="L9" s="217"/>
      <c r="M9" s="217"/>
      <c r="N9" s="217"/>
      <c r="O9" s="217"/>
      <c r="P9" s="217"/>
    </row>
    <row r="10" spans="1:16" ht="49.95" customHeight="1" x14ac:dyDescent="0.3">
      <c r="B10" s="202" t="s">
        <v>78</v>
      </c>
      <c r="C10" s="203"/>
      <c r="D10" s="203"/>
      <c r="E10" s="203"/>
      <c r="F10" s="203"/>
      <c r="G10" s="61"/>
      <c r="I10" s="204" t="s">
        <v>72</v>
      </c>
      <c r="J10" s="204"/>
      <c r="K10" s="204"/>
      <c r="L10" s="204"/>
      <c r="M10" s="204"/>
      <c r="N10" s="204"/>
      <c r="O10" s="204"/>
      <c r="P10" s="204"/>
    </row>
    <row r="11" spans="1:16" ht="61.95" customHeight="1" x14ac:dyDescent="0.3">
      <c r="B11" s="202" t="s">
        <v>79</v>
      </c>
      <c r="C11" s="202"/>
      <c r="D11" s="202"/>
      <c r="E11" s="202"/>
      <c r="F11" s="202"/>
      <c r="I11" s="204" t="s">
        <v>81</v>
      </c>
      <c r="J11" s="204"/>
      <c r="K11" s="204"/>
      <c r="L11" s="204"/>
      <c r="M11" s="204"/>
      <c r="N11" s="204"/>
      <c r="O11" s="204"/>
      <c r="P11" s="204"/>
    </row>
    <row r="12" spans="1:16" ht="49.95" customHeight="1" x14ac:dyDescent="0.3">
      <c r="I12" s="204" t="s">
        <v>70</v>
      </c>
      <c r="J12" s="204"/>
      <c r="K12" s="204"/>
      <c r="L12" s="204"/>
      <c r="M12" s="204"/>
      <c r="N12" s="204"/>
      <c r="O12" s="204"/>
      <c r="P12" s="204"/>
    </row>
    <row r="13" spans="1:16" ht="49.95" customHeight="1" thickBot="1" x14ac:dyDescent="0.35">
      <c r="I13" s="204"/>
      <c r="J13" s="204"/>
      <c r="K13" s="204"/>
      <c r="L13" s="204"/>
      <c r="M13" s="204"/>
      <c r="N13" s="204"/>
      <c r="O13" s="204"/>
      <c r="P13" s="204"/>
    </row>
    <row r="14" spans="1:16" ht="15" customHeight="1" x14ac:dyDescent="0.3">
      <c r="B14" s="209" t="s">
        <v>98</v>
      </c>
      <c r="C14" s="210"/>
      <c r="D14" s="210"/>
      <c r="E14" s="210"/>
      <c r="F14" s="211"/>
      <c r="G14" s="64"/>
      <c r="I14" s="215" t="s">
        <v>67</v>
      </c>
      <c r="J14" s="210"/>
      <c r="K14" s="210"/>
      <c r="L14" s="210"/>
      <c r="M14" s="210"/>
      <c r="N14" s="210"/>
      <c r="O14" s="210"/>
      <c r="P14" s="211"/>
    </row>
    <row r="15" spans="1:16" ht="16.05" customHeight="1" thickBot="1" x14ac:dyDescent="0.35">
      <c r="B15" s="212"/>
      <c r="C15" s="213"/>
      <c r="D15" s="213"/>
      <c r="E15" s="213"/>
      <c r="F15" s="214"/>
      <c r="G15" s="64"/>
      <c r="I15" s="212"/>
      <c r="J15" s="213"/>
      <c r="K15" s="213"/>
      <c r="L15" s="213"/>
      <c r="M15" s="213"/>
      <c r="N15" s="213"/>
      <c r="O15" s="213"/>
      <c r="P15" s="214"/>
    </row>
    <row r="16" spans="1:16" ht="46.05" customHeight="1" x14ac:dyDescent="0.3">
      <c r="B16" s="207" t="s">
        <v>87</v>
      </c>
      <c r="C16" s="208"/>
      <c r="D16" s="208"/>
      <c r="E16" s="208"/>
      <c r="F16" s="208"/>
      <c r="I16" s="189" t="s">
        <v>101</v>
      </c>
      <c r="J16" s="190"/>
      <c r="K16" s="60"/>
      <c r="L16" s="189" t="s">
        <v>104</v>
      </c>
      <c r="M16" s="190"/>
      <c r="N16" s="60"/>
      <c r="O16" s="189" t="s">
        <v>117</v>
      </c>
      <c r="P16" s="190"/>
    </row>
    <row r="17" spans="1:16" ht="54" customHeight="1" x14ac:dyDescent="0.3">
      <c r="B17" s="206" t="s">
        <v>88</v>
      </c>
      <c r="C17" s="205"/>
      <c r="D17" s="205"/>
      <c r="E17" s="205"/>
      <c r="F17" s="205"/>
      <c r="I17" s="184" t="s">
        <v>102</v>
      </c>
      <c r="J17" s="185"/>
      <c r="K17" s="63"/>
      <c r="L17" s="184" t="s">
        <v>105</v>
      </c>
      <c r="M17" s="185"/>
      <c r="N17" s="63"/>
      <c r="O17" s="184" t="s">
        <v>118</v>
      </c>
      <c r="P17" s="185"/>
    </row>
    <row r="18" spans="1:16" ht="46.05" customHeight="1" x14ac:dyDescent="0.3">
      <c r="B18" s="206" t="s">
        <v>89</v>
      </c>
      <c r="C18" s="205"/>
      <c r="D18" s="205"/>
      <c r="E18" s="205"/>
      <c r="F18" s="205"/>
      <c r="I18" s="182" t="s">
        <v>106</v>
      </c>
      <c r="J18" s="183"/>
      <c r="K18" s="66"/>
      <c r="L18" s="182" t="s">
        <v>110</v>
      </c>
      <c r="M18" s="183"/>
      <c r="N18" s="66"/>
      <c r="O18" s="186" t="s">
        <v>119</v>
      </c>
      <c r="P18" s="183"/>
    </row>
    <row r="19" spans="1:16" ht="46.05" customHeight="1" x14ac:dyDescent="0.3">
      <c r="B19" s="206" t="s">
        <v>90</v>
      </c>
      <c r="C19" s="205"/>
      <c r="D19" s="205"/>
      <c r="E19" s="205"/>
      <c r="F19" s="205"/>
      <c r="I19" s="182" t="s">
        <v>103</v>
      </c>
      <c r="J19" s="183"/>
      <c r="K19" s="66"/>
      <c r="L19" s="187" t="s">
        <v>111</v>
      </c>
      <c r="M19" s="187"/>
      <c r="N19" s="66"/>
      <c r="O19" s="182" t="s">
        <v>120</v>
      </c>
      <c r="P19" s="183"/>
    </row>
    <row r="20" spans="1:16" ht="46.05" customHeight="1" x14ac:dyDescent="0.3">
      <c r="B20" s="204" t="s">
        <v>74</v>
      </c>
      <c r="C20" s="205"/>
      <c r="D20" s="205"/>
      <c r="E20" s="205"/>
      <c r="F20" s="205"/>
      <c r="I20" s="182" t="s">
        <v>107</v>
      </c>
      <c r="J20" s="183"/>
      <c r="K20" s="66"/>
      <c r="L20" s="182" t="s">
        <v>112</v>
      </c>
      <c r="M20" s="183"/>
      <c r="N20" s="66"/>
      <c r="O20" s="182" t="s">
        <v>121</v>
      </c>
      <c r="P20" s="183"/>
    </row>
    <row r="21" spans="1:16" ht="46.05" customHeight="1" x14ac:dyDescent="0.3">
      <c r="I21" s="182" t="s">
        <v>108</v>
      </c>
      <c r="J21" s="183"/>
      <c r="K21" s="66"/>
      <c r="L21" s="182" t="s">
        <v>113</v>
      </c>
      <c r="M21" s="183"/>
      <c r="N21" s="66"/>
      <c r="O21" s="182" t="s">
        <v>122</v>
      </c>
      <c r="P21" s="183"/>
    </row>
    <row r="22" spans="1:16" ht="46.05" customHeight="1" x14ac:dyDescent="0.3">
      <c r="I22" s="182" t="s">
        <v>109</v>
      </c>
      <c r="J22" s="183"/>
      <c r="K22" s="66"/>
      <c r="L22" s="188" t="s">
        <v>114</v>
      </c>
      <c r="M22" s="188"/>
      <c r="N22" s="67"/>
      <c r="O22" s="182" t="s">
        <v>123</v>
      </c>
      <c r="P22" s="183"/>
    </row>
    <row r="23" spans="1:16" ht="46.05" customHeight="1" x14ac:dyDescent="0.3">
      <c r="K23" s="66"/>
      <c r="L23" s="182" t="s">
        <v>115</v>
      </c>
      <c r="M23" s="183"/>
      <c r="N23" s="66"/>
      <c r="O23" s="182" t="s">
        <v>124</v>
      </c>
      <c r="P23" s="183"/>
    </row>
    <row r="24" spans="1:16" ht="46.05" customHeight="1" x14ac:dyDescent="0.3">
      <c r="L24" s="182" t="s">
        <v>116</v>
      </c>
      <c r="M24" s="183"/>
      <c r="N24" s="66"/>
    </row>
    <row r="25" spans="1:16" ht="46.05" customHeight="1" thickBot="1" x14ac:dyDescent="0.35"/>
    <row r="26" spans="1:16" ht="29.4" thickBot="1" x14ac:dyDescent="0.35">
      <c r="A26" s="191" t="s">
        <v>68</v>
      </c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3"/>
    </row>
    <row r="27" spans="1:16" ht="127.95" customHeight="1" thickBot="1" x14ac:dyDescent="0.35">
      <c r="A27" s="194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6"/>
    </row>
    <row r="28" spans="1:16" thickBot="1" x14ac:dyDescent="0.35"/>
    <row r="29" spans="1:16" ht="29.4" thickBot="1" x14ac:dyDescent="0.35">
      <c r="A29" s="191" t="s">
        <v>69</v>
      </c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3"/>
    </row>
    <row r="30" spans="1:16" ht="127.95" customHeight="1" thickBot="1" x14ac:dyDescent="0.35">
      <c r="A30" s="197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9"/>
    </row>
    <row r="31" spans="1:16" ht="14.4" x14ac:dyDescent="0.3"/>
    <row r="32" spans="1:16" ht="14.4" x14ac:dyDescent="0.3"/>
  </sheetData>
  <mergeCells count="48">
    <mergeCell ref="B1:E1"/>
    <mergeCell ref="O1:P1"/>
    <mergeCell ref="A2:P2"/>
    <mergeCell ref="I4:P5"/>
    <mergeCell ref="B7:F8"/>
    <mergeCell ref="I7:P8"/>
    <mergeCell ref="B9:F9"/>
    <mergeCell ref="I9:P9"/>
    <mergeCell ref="B10:F10"/>
    <mergeCell ref="I10:P10"/>
    <mergeCell ref="B11:F11"/>
    <mergeCell ref="I11:P11"/>
    <mergeCell ref="I12:P13"/>
    <mergeCell ref="B14:F15"/>
    <mergeCell ref="I14:P15"/>
    <mergeCell ref="B16:F16"/>
    <mergeCell ref="I16:J16"/>
    <mergeCell ref="L16:M16"/>
    <mergeCell ref="O16:P16"/>
    <mergeCell ref="B17:F17"/>
    <mergeCell ref="I17:J17"/>
    <mergeCell ref="L17:M17"/>
    <mergeCell ref="O17:P17"/>
    <mergeCell ref="B18:F18"/>
    <mergeCell ref="I18:J18"/>
    <mergeCell ref="L18:M18"/>
    <mergeCell ref="O18:P18"/>
    <mergeCell ref="B19:F19"/>
    <mergeCell ref="I19:J19"/>
    <mergeCell ref="L19:M19"/>
    <mergeCell ref="O19:P19"/>
    <mergeCell ref="B20:F20"/>
    <mergeCell ref="I20:J20"/>
    <mergeCell ref="L20:M20"/>
    <mergeCell ref="O20:P20"/>
    <mergeCell ref="I21:J21"/>
    <mergeCell ref="L21:M21"/>
    <mergeCell ref="O21:P21"/>
    <mergeCell ref="I22:J22"/>
    <mergeCell ref="L22:M22"/>
    <mergeCell ref="O22:P22"/>
    <mergeCell ref="A30:P30"/>
    <mergeCell ref="L23:M23"/>
    <mergeCell ref="O23:P23"/>
    <mergeCell ref="L24:M24"/>
    <mergeCell ref="A26:P26"/>
    <mergeCell ref="A27:P27"/>
    <mergeCell ref="A29:P29"/>
  </mergeCells>
  <pageMargins left="0.7" right="0.7" top="0.75" bottom="0.75" header="0.3" footer="0.3"/>
  <pageSetup scale="4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1FCC-AAB2-0841-B2C9-EAFB31724BA9}">
  <sheetPr>
    <tabColor theme="5" tint="0.39997558519241921"/>
    <pageSetUpPr fitToPage="1"/>
  </sheetPr>
  <dimension ref="A1:S53"/>
  <sheetViews>
    <sheetView showGridLines="0" tabSelected="1" zoomScale="60" zoomScaleNormal="60" workbookViewId="0">
      <selection activeCell="E5" sqref="E5"/>
    </sheetView>
  </sheetViews>
  <sheetFormatPr baseColWidth="10" defaultColWidth="0" defaultRowHeight="15" customHeight="1" zeroHeight="1" x14ac:dyDescent="0.3"/>
  <cols>
    <col min="1" max="1" width="8.77734375" style="27" customWidth="1"/>
    <col min="2" max="2" width="14.6640625" style="27" customWidth="1"/>
    <col min="3" max="3" width="24.6640625" style="27" bestFit="1" customWidth="1"/>
    <col min="4" max="4" width="17.77734375" style="27" bestFit="1" customWidth="1"/>
    <col min="5" max="5" width="27.109375" style="27" customWidth="1"/>
    <col min="6" max="6" width="12.33203125" style="27" bestFit="1" customWidth="1"/>
    <col min="7" max="7" width="13.109375" style="27" bestFit="1" customWidth="1"/>
    <col min="8" max="8" width="19.109375" style="27" bestFit="1" customWidth="1"/>
    <col min="9" max="9" width="23.6640625" style="27" bestFit="1" customWidth="1"/>
    <col min="10" max="10" width="13" style="27" customWidth="1"/>
    <col min="11" max="11" width="16.6640625" style="27" bestFit="1" customWidth="1"/>
    <col min="12" max="12" width="23.33203125" style="27" bestFit="1" customWidth="1"/>
    <col min="13" max="13" width="17.33203125" style="27" bestFit="1" customWidth="1"/>
    <col min="14" max="14" width="17.33203125" style="27" customWidth="1"/>
    <col min="15" max="15" width="10.77734375" style="27" customWidth="1"/>
    <col min="16" max="16" width="39.33203125" style="27" bestFit="1" customWidth="1"/>
    <col min="17" max="17" width="4.109375" style="38" bestFit="1" customWidth="1"/>
    <col min="18" max="18" width="18" bestFit="1" customWidth="1"/>
    <col min="19" max="19" width="8.77734375" customWidth="1"/>
    <col min="20" max="16384" width="8.77734375" hidden="1"/>
  </cols>
  <sheetData>
    <row r="1" spans="1:18" ht="98.25" customHeight="1" thickBot="1" x14ac:dyDescent="0.35">
      <c r="C1" s="139" t="s">
        <v>12</v>
      </c>
      <c r="D1" s="139"/>
      <c r="E1" s="139"/>
      <c r="G1" s="18"/>
      <c r="H1" s="18" t="s">
        <v>13</v>
      </c>
      <c r="I1" s="117">
        <v>31</v>
      </c>
      <c r="J1" s="19" t="s">
        <v>14</v>
      </c>
      <c r="K1" s="118">
        <v>46241</v>
      </c>
      <c r="L1" s="19" t="s">
        <v>76</v>
      </c>
      <c r="M1" s="134" t="s">
        <v>132</v>
      </c>
      <c r="N1" s="118"/>
      <c r="P1" s="68" t="s">
        <v>56</v>
      </c>
      <c r="Q1" s="27"/>
    </row>
    <row r="2" spans="1:18" ht="51.75" customHeight="1" thickBot="1" x14ac:dyDescent="0.35">
      <c r="A2" s="144" t="s">
        <v>15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6"/>
    </row>
    <row r="3" spans="1:18" thickBot="1" x14ac:dyDescent="0.35">
      <c r="Q3" s="27"/>
    </row>
    <row r="4" spans="1:18" s="1" customFormat="1" ht="46.05" customHeight="1" thickBot="1" x14ac:dyDescent="0.35">
      <c r="A4" s="28"/>
      <c r="B4" s="140" t="s">
        <v>16</v>
      </c>
      <c r="C4" s="141"/>
      <c r="D4" s="28"/>
      <c r="E4" s="142" t="s">
        <v>19</v>
      </c>
      <c r="F4" s="143"/>
      <c r="G4" s="28"/>
      <c r="H4" s="140" t="s">
        <v>22</v>
      </c>
      <c r="I4" s="141"/>
      <c r="J4" s="3" t="s">
        <v>23</v>
      </c>
      <c r="K4" s="28"/>
      <c r="L4" s="140" t="s">
        <v>24</v>
      </c>
      <c r="M4" s="141"/>
      <c r="N4" s="28"/>
      <c r="O4" s="28"/>
      <c r="P4" s="161" t="s">
        <v>125</v>
      </c>
      <c r="Q4" s="28"/>
    </row>
    <row r="5" spans="1:18" ht="46.05" customHeight="1" x14ac:dyDescent="0.3">
      <c r="B5" s="20" t="s">
        <v>82</v>
      </c>
      <c r="C5" s="93">
        <v>3620</v>
      </c>
      <c r="E5" s="21" t="s">
        <v>55</v>
      </c>
      <c r="F5" s="96">
        <v>16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226.25</v>
      </c>
      <c r="P5" s="161"/>
      <c r="Q5" s="27"/>
    </row>
    <row r="6" spans="1:18" ht="46.05" customHeight="1" thickBot="1" x14ac:dyDescent="0.35">
      <c r="B6" s="39" t="s">
        <v>17</v>
      </c>
      <c r="C6" s="109">
        <f>C5*0.85</f>
        <v>3077</v>
      </c>
      <c r="E6" s="5" t="s">
        <v>20</v>
      </c>
      <c r="F6" s="97">
        <v>6.2E-2</v>
      </c>
      <c r="H6" s="22" t="s">
        <v>4</v>
      </c>
      <c r="I6" s="101">
        <v>0.05</v>
      </c>
      <c r="J6" s="100">
        <f>IF(+C8*I6&lt;1,1,C8*I6)</f>
        <v>1</v>
      </c>
      <c r="L6" s="6" t="s">
        <v>23</v>
      </c>
      <c r="M6" s="105">
        <f>C8/D25</f>
        <v>6.25E-2</v>
      </c>
      <c r="P6" s="16" t="s">
        <v>2</v>
      </c>
      <c r="Q6" s="27"/>
    </row>
    <row r="7" spans="1:18" ht="46.05" customHeight="1" thickBot="1" x14ac:dyDescent="0.35">
      <c r="B7" s="40" t="s">
        <v>3</v>
      </c>
      <c r="C7" s="109">
        <f>+C5*0.15</f>
        <v>543</v>
      </c>
      <c r="E7" s="5" t="s">
        <v>21</v>
      </c>
      <c r="F7" s="94">
        <f>+F5*F6</f>
        <v>0.99199999999999999</v>
      </c>
      <c r="H7" s="23" t="s">
        <v>5</v>
      </c>
      <c r="I7" s="102">
        <v>0.3</v>
      </c>
      <c r="J7" s="103">
        <f>IF(C8*I7&lt;1,1,C8*I7)</f>
        <v>1</v>
      </c>
      <c r="P7" s="107">
        <v>3620</v>
      </c>
      <c r="Q7" s="27"/>
    </row>
    <row r="8" spans="1:18" ht="46.05" customHeight="1" thickBot="1" x14ac:dyDescent="0.35">
      <c r="B8" s="24" t="s">
        <v>18</v>
      </c>
      <c r="C8" s="95">
        <f>+C5/P9</f>
        <v>1</v>
      </c>
      <c r="E8" s="25" t="s">
        <v>83</v>
      </c>
      <c r="F8" s="98">
        <f>+C5*1.1</f>
        <v>3982.0000000000005</v>
      </c>
      <c r="H8" s="29"/>
      <c r="I8" s="172" t="s">
        <v>77</v>
      </c>
      <c r="J8" s="173"/>
      <c r="L8" s="140" t="s">
        <v>57</v>
      </c>
      <c r="M8" s="141"/>
      <c r="P8" s="17" t="s">
        <v>6</v>
      </c>
      <c r="Q8" s="27"/>
    </row>
    <row r="9" spans="1:18" ht="46.05" customHeight="1" thickBot="1" x14ac:dyDescent="0.35">
      <c r="C9"/>
      <c r="E9" s="172" t="s">
        <v>91</v>
      </c>
      <c r="F9" s="173"/>
      <c r="H9"/>
      <c r="I9"/>
      <c r="J9" s="30"/>
      <c r="L9" s="4" t="s">
        <v>75</v>
      </c>
      <c r="M9" s="106">
        <v>3620</v>
      </c>
      <c r="P9" s="108">
        <v>3620</v>
      </c>
      <c r="Q9" s="27"/>
    </row>
    <row r="10" spans="1:18" ht="46.05" customHeight="1" thickBot="1" x14ac:dyDescent="0.35">
      <c r="B10" s="28"/>
      <c r="C10" s="28"/>
      <c r="J10"/>
      <c r="P10" s="181" t="s">
        <v>26</v>
      </c>
      <c r="Q10" s="27"/>
    </row>
    <row r="11" spans="1:18" ht="46.05" customHeight="1" thickBot="1" x14ac:dyDescent="0.35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69"/>
      <c r="J11" s="169"/>
      <c r="K11" s="169"/>
      <c r="L11" s="169"/>
      <c r="M11" s="169"/>
      <c r="N11" s="119"/>
      <c r="P11" s="181"/>
      <c r="Q11" s="27"/>
    </row>
    <row r="12" spans="1:18" ht="46.05" customHeight="1" thickBot="1" x14ac:dyDescent="0.35">
      <c r="B12" s="42" t="s">
        <v>27</v>
      </c>
      <c r="C12" s="69">
        <v>3</v>
      </c>
      <c r="D12" s="70">
        <v>0</v>
      </c>
      <c r="E12" s="70">
        <v>9</v>
      </c>
      <c r="F12" s="70">
        <v>3</v>
      </c>
      <c r="G12" s="85">
        <v>1</v>
      </c>
      <c r="H12" s="86">
        <f>SUM(C12:G12)</f>
        <v>16</v>
      </c>
      <c r="I12" s="169"/>
      <c r="J12" s="169"/>
      <c r="K12" s="169"/>
      <c r="L12" s="169"/>
      <c r="M12" s="169"/>
      <c r="N12" s="119"/>
      <c r="O12"/>
      <c r="P12" s="16" t="s">
        <v>2</v>
      </c>
      <c r="Q12" s="27"/>
    </row>
    <row r="13" spans="1:18" ht="46.05" customHeight="1" thickBot="1" x14ac:dyDescent="0.35">
      <c r="B13" s="43" t="s">
        <v>28</v>
      </c>
      <c r="C13" s="87">
        <f>+C12/$H$12</f>
        <v>0.1875</v>
      </c>
      <c r="D13" s="88">
        <f>+D12/$H$12</f>
        <v>0</v>
      </c>
      <c r="E13" s="88">
        <f>+E12/$H$12</f>
        <v>0.5625</v>
      </c>
      <c r="F13" s="88">
        <f>+F12/$H$12</f>
        <v>0.1875</v>
      </c>
      <c r="G13" s="88">
        <f>+G12/$H$12</f>
        <v>6.25E-2</v>
      </c>
      <c r="H13" s="89"/>
      <c r="I13" s="169"/>
      <c r="J13" s="169"/>
      <c r="K13" s="169"/>
      <c r="L13" s="169"/>
      <c r="M13" s="169"/>
      <c r="N13" s="119"/>
      <c r="P13" s="107">
        <v>7597</v>
      </c>
      <c r="Q13" s="27"/>
    </row>
    <row r="14" spans="1:18" ht="46.05" customHeight="1" thickBot="1" x14ac:dyDescent="0.35">
      <c r="B14" s="44" t="s">
        <v>29</v>
      </c>
      <c r="C14" s="90">
        <f>+C13*$C$5</f>
        <v>678.75</v>
      </c>
      <c r="D14" s="91">
        <f t="shared" ref="D14:G14" si="0">+D13*$C$5</f>
        <v>0</v>
      </c>
      <c r="E14" s="91">
        <f t="shared" si="0"/>
        <v>2036.25</v>
      </c>
      <c r="F14" s="91">
        <f t="shared" si="0"/>
        <v>678.75</v>
      </c>
      <c r="G14" s="91">
        <f t="shared" si="0"/>
        <v>226.25</v>
      </c>
      <c r="H14" s="92">
        <f>+SUM(C14:G14)</f>
        <v>3620</v>
      </c>
      <c r="I14" s="169"/>
      <c r="J14" s="169"/>
      <c r="K14" s="169"/>
      <c r="L14" s="169"/>
      <c r="M14" s="169"/>
      <c r="N14" s="119"/>
      <c r="P14" s="17" t="s">
        <v>6</v>
      </c>
      <c r="Q14" s="27"/>
    </row>
    <row r="15" spans="1:18" ht="35.25" customHeight="1" thickBot="1" x14ac:dyDescent="0.35">
      <c r="D15" s="28"/>
      <c r="E15" s="28"/>
      <c r="F15" s="28"/>
      <c r="G15" s="28"/>
      <c r="H15" s="28"/>
      <c r="I15" s="28"/>
      <c r="J15" s="28"/>
      <c r="K15" s="28"/>
      <c r="L15" s="28"/>
      <c r="P15" s="108">
        <v>3362</v>
      </c>
      <c r="Q15" s="27"/>
    </row>
    <row r="16" spans="1:18" s="1" customFormat="1" ht="46.05" customHeight="1" thickBot="1" x14ac:dyDescent="0.35">
      <c r="A16" s="28"/>
      <c r="B16" s="163" t="s">
        <v>33</v>
      </c>
      <c r="C16" s="16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62" t="s">
        <v>97</v>
      </c>
      <c r="M16" s="162"/>
      <c r="N16" s="162"/>
      <c r="O16" s="162"/>
      <c r="P16" s="32"/>
      <c r="Q16" s="27"/>
      <c r="R16"/>
    </row>
    <row r="17" spans="1:19" s="26" customFormat="1" ht="46.05" customHeight="1" x14ac:dyDescent="0.3">
      <c r="A17" s="33"/>
      <c r="B17" s="165" t="s">
        <v>134</v>
      </c>
      <c r="C17" s="166"/>
      <c r="D17" s="132">
        <v>9</v>
      </c>
      <c r="E17" s="72">
        <f t="shared" ref="E17:E24" si="1">($C$5/$D$25)*D17</f>
        <v>2036.25</v>
      </c>
      <c r="F17" s="73">
        <f t="shared" ref="F17:F24" si="2">IF((($C$8-$J$5)/$D$25)*D17&lt;1,1,((($C$8-$J$5)/$D$25)*D17))</f>
        <v>1</v>
      </c>
      <c r="G17" s="123"/>
      <c r="H17" s="74">
        <f t="shared" ref="H17:H24" si="3">IF(D17&gt;0,MAX(($J$6/$D$25)*D17,1),0)</f>
        <v>1</v>
      </c>
      <c r="I17" s="75">
        <f t="shared" ref="I17:I24" si="4">IF(D17&gt;0,MAX(($J$7/$D$25)*D17,1),0)</f>
        <v>1</v>
      </c>
      <c r="J17" s="34"/>
      <c r="K17" s="28"/>
      <c r="L17" s="162"/>
      <c r="M17" s="162"/>
      <c r="N17" s="162"/>
      <c r="O17" s="162"/>
      <c r="P17" s="32"/>
      <c r="Q17" s="27"/>
      <c r="R17"/>
    </row>
    <row r="18" spans="1:19" s="26" customFormat="1" ht="46.05" customHeight="1" x14ac:dyDescent="0.3">
      <c r="A18" s="33"/>
      <c r="B18" s="167" t="s">
        <v>135</v>
      </c>
      <c r="C18" s="168"/>
      <c r="D18" s="71">
        <v>7</v>
      </c>
      <c r="E18" s="76">
        <f t="shared" si="1"/>
        <v>1583.75</v>
      </c>
      <c r="F18" s="77">
        <f t="shared" si="2"/>
        <v>1</v>
      </c>
      <c r="G18" s="124"/>
      <c r="H18" s="78">
        <f t="shared" si="3"/>
        <v>1</v>
      </c>
      <c r="I18" s="79">
        <f t="shared" si="4"/>
        <v>1</v>
      </c>
      <c r="J18" s="34"/>
      <c r="K18" s="28"/>
      <c r="L18" s="162"/>
      <c r="M18" s="162"/>
      <c r="N18" s="162"/>
      <c r="O18" s="162"/>
      <c r="P18" s="32"/>
      <c r="Q18" s="27"/>
      <c r="R18"/>
    </row>
    <row r="19" spans="1:19" s="26" customFormat="1" ht="46.05" customHeight="1" x14ac:dyDescent="0.3">
      <c r="A19" s="33"/>
      <c r="B19" s="167"/>
      <c r="C19" s="168"/>
      <c r="D19" s="71"/>
      <c r="E19" s="76">
        <f t="shared" si="1"/>
        <v>0</v>
      </c>
      <c r="F19" s="77">
        <f t="shared" si="2"/>
        <v>1</v>
      </c>
      <c r="G19" s="124"/>
      <c r="H19" s="78">
        <f t="shared" si="3"/>
        <v>0</v>
      </c>
      <c r="I19" s="79">
        <f t="shared" si="4"/>
        <v>0</v>
      </c>
      <c r="J19" s="34"/>
      <c r="K19" s="28"/>
      <c r="L19" s="162"/>
      <c r="M19" s="162"/>
      <c r="N19" s="162"/>
      <c r="O19" s="162"/>
      <c r="P19" s="32"/>
      <c r="Q19" s="27"/>
      <c r="R19"/>
    </row>
    <row r="20" spans="1:19" s="26" customFormat="1" ht="46.05" customHeight="1" x14ac:dyDescent="0.3">
      <c r="A20" s="33"/>
      <c r="B20" s="167"/>
      <c r="C20" s="168"/>
      <c r="D20" s="71"/>
      <c r="E20" s="76">
        <f t="shared" si="1"/>
        <v>0</v>
      </c>
      <c r="F20" s="77">
        <f t="shared" si="2"/>
        <v>1</v>
      </c>
      <c r="G20" s="124"/>
      <c r="H20" s="78">
        <f t="shared" si="3"/>
        <v>0</v>
      </c>
      <c r="I20" s="79">
        <f t="shared" si="4"/>
        <v>0</v>
      </c>
      <c r="J20" s="34"/>
      <c r="K20" s="28"/>
      <c r="L20" s="162"/>
      <c r="M20" s="162"/>
      <c r="N20" s="162"/>
      <c r="O20" s="162"/>
      <c r="P20" s="32"/>
      <c r="Q20" s="27"/>
      <c r="R20"/>
    </row>
    <row r="21" spans="1:19" s="26" customFormat="1" ht="46.05" customHeight="1" x14ac:dyDescent="0.3">
      <c r="A21" s="33"/>
      <c r="B21" s="167"/>
      <c r="C21" s="168"/>
      <c r="D21" s="71"/>
      <c r="E21" s="76">
        <f t="shared" si="1"/>
        <v>0</v>
      </c>
      <c r="F21" s="77">
        <f t="shared" si="2"/>
        <v>1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62"/>
      <c r="M21" s="162"/>
      <c r="N21" s="162"/>
      <c r="O21" s="162"/>
      <c r="P21" s="32"/>
      <c r="Q21" s="27"/>
      <c r="R21"/>
    </row>
    <row r="22" spans="1:19" s="26" customFormat="1" ht="46.05" customHeight="1" x14ac:dyDescent="0.3">
      <c r="A22" s="33"/>
      <c r="B22" s="167"/>
      <c r="C22" s="168"/>
      <c r="D22" s="71"/>
      <c r="E22" s="76">
        <f t="shared" si="1"/>
        <v>0</v>
      </c>
      <c r="F22" s="77">
        <f t="shared" si="2"/>
        <v>1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62"/>
      <c r="M22" s="162"/>
      <c r="N22" s="162"/>
      <c r="O22" s="162"/>
      <c r="P22" s="32"/>
      <c r="Q22" s="27"/>
      <c r="R22"/>
    </row>
    <row r="23" spans="1:19" s="26" customFormat="1" ht="46.05" customHeight="1" x14ac:dyDescent="0.3">
      <c r="A23" s="33"/>
      <c r="B23" s="170"/>
      <c r="C23" s="171"/>
      <c r="D23" s="10"/>
      <c r="E23" s="76">
        <f t="shared" si="1"/>
        <v>0</v>
      </c>
      <c r="F23" s="77">
        <f t="shared" si="2"/>
        <v>1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62"/>
      <c r="M23" s="162"/>
      <c r="N23" s="162"/>
      <c r="O23" s="162"/>
      <c r="P23" s="32"/>
      <c r="Q23" s="27"/>
      <c r="R23"/>
    </row>
    <row r="24" spans="1:19" s="26" customFormat="1" ht="46.05" customHeight="1" thickBot="1" x14ac:dyDescent="0.35">
      <c r="A24" s="33"/>
      <c r="B24" s="170"/>
      <c r="C24" s="171"/>
      <c r="D24" s="10"/>
      <c r="E24" s="76">
        <f t="shared" si="1"/>
        <v>0</v>
      </c>
      <c r="F24" s="77">
        <f t="shared" si="2"/>
        <v>1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62"/>
      <c r="M24" s="162"/>
      <c r="N24" s="162"/>
      <c r="O24" s="162"/>
      <c r="P24" s="32"/>
      <c r="Q24" s="27"/>
      <c r="R24"/>
    </row>
    <row r="25" spans="1:19" s="26" customFormat="1" ht="46.05" customHeight="1" thickBot="1" x14ac:dyDescent="0.35">
      <c r="A25" s="33"/>
      <c r="B25" s="174" t="s">
        <v>0</v>
      </c>
      <c r="C25" s="175" t="s">
        <v>0</v>
      </c>
      <c r="D25" s="84">
        <f>+SUM(D17:D24)</f>
        <v>16</v>
      </c>
      <c r="E25" s="80">
        <f>SUM(E17:E24)</f>
        <v>3620</v>
      </c>
      <c r="F25" s="81">
        <f>SUM(F17:F24)</f>
        <v>8</v>
      </c>
      <c r="G25" s="81">
        <f>SUM(G17:G24)</f>
        <v>0</v>
      </c>
      <c r="H25" s="82">
        <f>+J6</f>
        <v>1</v>
      </c>
      <c r="I25" s="83">
        <f>+J7</f>
        <v>1</v>
      </c>
      <c r="J25" s="35"/>
      <c r="K25" s="28"/>
      <c r="L25" s="162"/>
      <c r="M25" s="162"/>
      <c r="N25" s="162"/>
      <c r="O25" s="162"/>
      <c r="P25" s="32"/>
      <c r="Q25" s="27"/>
      <c r="R25"/>
    </row>
    <row r="26" spans="1:19" ht="56.55" customHeight="1" thickBot="1" x14ac:dyDescent="0.35">
      <c r="F26" s="28"/>
      <c r="Q26" s="27"/>
    </row>
    <row r="27" spans="1:19" ht="62.25" customHeight="1" thickBot="1" x14ac:dyDescent="0.35">
      <c r="A27" s="144" t="s">
        <v>39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6"/>
    </row>
    <row r="28" spans="1:19" ht="15.45" customHeight="1" thickBot="1" x14ac:dyDescent="0.35">
      <c r="Q28" s="27"/>
    </row>
    <row r="29" spans="1:19" ht="31.8" thickBot="1" x14ac:dyDescent="0.35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 x14ac:dyDescent="0.35">
      <c r="A30" s="33"/>
      <c r="B30" s="158" t="s">
        <v>46</v>
      </c>
      <c r="C30" s="159" t="s">
        <v>0</v>
      </c>
      <c r="D30" s="115">
        <f>+C5</f>
        <v>3620</v>
      </c>
      <c r="E30" s="116">
        <v>25600</v>
      </c>
      <c r="F30" s="115">
        <f>+C8</f>
        <v>1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5" customHeight="1" thickBot="1" x14ac:dyDescent="0.35">
      <c r="Q31" s="27"/>
    </row>
    <row r="32" spans="1:19" s="1" customFormat="1" ht="58.05" customHeight="1" thickBot="1" x14ac:dyDescent="0.35">
      <c r="A32" s="28"/>
      <c r="B32" s="163" t="s">
        <v>47</v>
      </c>
      <c r="C32" s="164"/>
      <c r="D32" s="14" t="s">
        <v>34</v>
      </c>
      <c r="E32" s="152" t="s">
        <v>48</v>
      </c>
      <c r="F32" s="153"/>
      <c r="G32" s="154" t="s">
        <v>49</v>
      </c>
      <c r="H32" s="155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05" customHeight="1" x14ac:dyDescent="0.3">
      <c r="A33" s="33"/>
      <c r="B33" s="179" t="str">
        <f t="shared" ref="B33:B40" si="5">B17</f>
        <v>idalia</v>
      </c>
      <c r="C33" s="180"/>
      <c r="D33" s="133">
        <f t="shared" ref="D33:D40" si="6">D17</f>
        <v>9</v>
      </c>
      <c r="E33" s="160"/>
      <c r="F33" s="160"/>
      <c r="G33" s="156"/>
      <c r="H33" s="157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05" customHeight="1" x14ac:dyDescent="0.3">
      <c r="A34" s="33"/>
      <c r="B34" s="150" t="str">
        <f t="shared" si="5"/>
        <v>Viviana</v>
      </c>
      <c r="C34" s="151"/>
      <c r="D34" s="112">
        <f t="shared" si="6"/>
        <v>7</v>
      </c>
      <c r="E34" s="147"/>
      <c r="F34" s="147"/>
      <c r="G34" s="148"/>
      <c r="H34" s="149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05" customHeight="1" x14ac:dyDescent="0.3">
      <c r="A35" s="33"/>
      <c r="B35" s="150">
        <f t="shared" si="5"/>
        <v>0</v>
      </c>
      <c r="C35" s="151"/>
      <c r="D35" s="112">
        <f t="shared" si="6"/>
        <v>0</v>
      </c>
      <c r="E35" s="147"/>
      <c r="F35" s="147"/>
      <c r="G35" s="148"/>
      <c r="H35" s="149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05" customHeight="1" x14ac:dyDescent="0.3">
      <c r="A36" s="33"/>
      <c r="B36" s="150">
        <f t="shared" si="5"/>
        <v>0</v>
      </c>
      <c r="C36" s="151"/>
      <c r="D36" s="112">
        <f t="shared" si="6"/>
        <v>0</v>
      </c>
      <c r="E36" s="147"/>
      <c r="F36" s="147"/>
      <c r="G36" s="148"/>
      <c r="H36" s="149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05" customHeight="1" x14ac:dyDescent="0.3">
      <c r="A37" s="33"/>
      <c r="B37" s="150">
        <f t="shared" si="5"/>
        <v>0</v>
      </c>
      <c r="C37" s="151"/>
      <c r="D37" s="112">
        <f t="shared" si="6"/>
        <v>0</v>
      </c>
      <c r="E37" s="147"/>
      <c r="F37" s="147"/>
      <c r="G37" s="148"/>
      <c r="H37" s="149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05" customHeight="1" x14ac:dyDescent="0.3">
      <c r="A38" s="33"/>
      <c r="B38" s="150">
        <f t="shared" si="5"/>
        <v>0</v>
      </c>
      <c r="C38" s="151"/>
      <c r="D38" s="112">
        <f t="shared" si="6"/>
        <v>0</v>
      </c>
      <c r="E38" s="147"/>
      <c r="F38" s="147"/>
      <c r="G38" s="148"/>
      <c r="H38" s="149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05" customHeight="1" x14ac:dyDescent="0.3">
      <c r="A39" s="33"/>
      <c r="B39" s="150">
        <f t="shared" si="5"/>
        <v>0</v>
      </c>
      <c r="C39" s="151"/>
      <c r="D39" s="112">
        <f t="shared" si="6"/>
        <v>0</v>
      </c>
      <c r="E39" s="147"/>
      <c r="F39" s="147"/>
      <c r="G39" s="148"/>
      <c r="H39" s="149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05" customHeight="1" x14ac:dyDescent="0.3">
      <c r="A40" s="33"/>
      <c r="B40" s="150">
        <f t="shared" si="5"/>
        <v>0</v>
      </c>
      <c r="C40" s="151"/>
      <c r="D40" s="112">
        <f t="shared" si="6"/>
        <v>0</v>
      </c>
      <c r="E40" s="147"/>
      <c r="F40" s="147"/>
      <c r="G40" s="148"/>
      <c r="H40" s="149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05" customHeight="1" x14ac:dyDescent="0.3">
      <c r="A41" s="33"/>
      <c r="B41" s="150" t="s">
        <v>0</v>
      </c>
      <c r="C41" s="151"/>
      <c r="D41" s="112">
        <f>SUM(D33:D40)</f>
        <v>16</v>
      </c>
      <c r="E41" s="178">
        <f t="shared" ref="E41:H41" si="9">SUM(E33:E40)</f>
        <v>0</v>
      </c>
      <c r="F41" s="178">
        <f t="shared" si="9"/>
        <v>0</v>
      </c>
      <c r="G41" s="176">
        <f t="shared" si="9"/>
        <v>0</v>
      </c>
      <c r="H41" s="177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05" hidden="1" customHeight="1" thickTop="1" x14ac:dyDescent="0.3">
      <c r="A42"/>
    </row>
    <row r="43" spans="1:19" ht="14.4" x14ac:dyDescent="0.3"/>
    <row r="44" spans="1:19" ht="14.4" x14ac:dyDescent="0.3"/>
    <row r="45" spans="1:19" ht="14.4" x14ac:dyDescent="0.3"/>
    <row r="46" spans="1:19" ht="14.4" x14ac:dyDescent="0.3"/>
    <row r="47" spans="1:19" ht="14.4" x14ac:dyDescent="0.3"/>
    <row r="48" spans="1:19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</sheetData>
  <sheetProtection selectLockedCells="1"/>
  <mergeCells count="55">
    <mergeCell ref="C1:E1"/>
    <mergeCell ref="A2:Q2"/>
    <mergeCell ref="B4:C4"/>
    <mergeCell ref="E4:F4"/>
    <mergeCell ref="H4:I4"/>
    <mergeCell ref="L4:M4"/>
    <mergeCell ref="P4:P5"/>
    <mergeCell ref="B16:C16"/>
    <mergeCell ref="L16:O25"/>
    <mergeCell ref="B17:C17"/>
    <mergeCell ref="B18:C18"/>
    <mergeCell ref="B19:C19"/>
    <mergeCell ref="I8:J8"/>
    <mergeCell ref="L8:M8"/>
    <mergeCell ref="E9:F9"/>
    <mergeCell ref="P10:P11"/>
    <mergeCell ref="I11:M14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B34:C34"/>
    <mergeCell ref="E34:F34"/>
    <mergeCell ref="G34:H34"/>
    <mergeCell ref="B35:C35"/>
    <mergeCell ref="E35:F35"/>
    <mergeCell ref="G35:H35"/>
    <mergeCell ref="B36:C36"/>
    <mergeCell ref="E36:F36"/>
    <mergeCell ref="G36:H36"/>
    <mergeCell ref="B37:C37"/>
    <mergeCell ref="E37:F37"/>
    <mergeCell ref="G37:H37"/>
    <mergeCell ref="B38:C38"/>
    <mergeCell ref="E38:F38"/>
    <mergeCell ref="G38:H38"/>
    <mergeCell ref="B39:C39"/>
    <mergeCell ref="E39:F39"/>
    <mergeCell ref="G39:H39"/>
    <mergeCell ref="B40:C40"/>
    <mergeCell ref="E40:F40"/>
    <mergeCell ref="G40:H40"/>
    <mergeCell ref="B41:C41"/>
    <mergeCell ref="E41:F41"/>
    <mergeCell ref="G41:H41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F27F-34C9-DD43-ACAF-0256CA67EF55}">
  <sheetPr>
    <tabColor rgb="FFFFC000"/>
  </sheetPr>
  <dimension ref="A1:R32"/>
  <sheetViews>
    <sheetView zoomScale="70" zoomScaleNormal="70" workbookViewId="0">
      <selection activeCell="Q9" sqref="Q9"/>
    </sheetView>
  </sheetViews>
  <sheetFormatPr baseColWidth="10" defaultColWidth="0" defaultRowHeight="15" customHeight="1" zeroHeight="1" x14ac:dyDescent="0.3"/>
  <cols>
    <col min="1" max="1" width="16" style="2" customWidth="1"/>
    <col min="2" max="2" width="18.77734375" style="2" bestFit="1" customWidth="1"/>
    <col min="3" max="4" width="10.77734375" style="2" customWidth="1"/>
    <col min="5" max="5" width="22.109375" style="2" customWidth="1"/>
    <col min="6" max="6" width="15.6640625" style="2" customWidth="1"/>
    <col min="7" max="7" width="14" style="2" customWidth="1"/>
    <col min="8" max="10" width="10.77734375" style="2" customWidth="1"/>
    <col min="11" max="11" width="22.5546875" style="2" bestFit="1" customWidth="1"/>
    <col min="12" max="12" width="10.77734375" style="2" customWidth="1"/>
    <col min="13" max="14" width="11.33203125" style="2" customWidth="1"/>
    <col min="15" max="15" width="10.77734375" style="2" customWidth="1"/>
    <col min="16" max="16" width="15.33203125" style="2" customWidth="1"/>
    <col min="17" max="18" width="10.77734375" style="2" customWidth="1"/>
    <col min="19" max="16384" width="10.77734375" style="2" hidden="1"/>
  </cols>
  <sheetData>
    <row r="1" spans="1:16" ht="79.95" customHeight="1" thickBot="1" x14ac:dyDescent="0.35">
      <c r="A1" s="48"/>
      <c r="B1" s="218" t="s">
        <v>59</v>
      </c>
      <c r="C1" s="218"/>
      <c r="D1" s="218"/>
      <c r="E1" s="218"/>
      <c r="F1" s="53"/>
      <c r="G1" s="53"/>
      <c r="H1" s="49" t="s">
        <v>13</v>
      </c>
      <c r="I1" s="50">
        <v>31</v>
      </c>
      <c r="J1" s="51" t="s">
        <v>14</v>
      </c>
      <c r="K1" s="231">
        <v>46241</v>
      </c>
      <c r="L1" s="51"/>
      <c r="M1" s="52"/>
      <c r="N1" s="52"/>
      <c r="O1" s="219" t="s">
        <v>56</v>
      </c>
      <c r="P1" s="220"/>
    </row>
    <row r="2" spans="1:16" ht="48" thickBot="1" x14ac:dyDescent="0.35">
      <c r="A2" s="144" t="s">
        <v>60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6"/>
    </row>
    <row r="3" spans="1:16" thickBot="1" x14ac:dyDescent="0.35"/>
    <row r="4" spans="1:16" ht="39.450000000000003" customHeight="1" x14ac:dyDescent="0.3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221" t="s">
        <v>73</v>
      </c>
      <c r="J4" s="222"/>
      <c r="K4" s="222"/>
      <c r="L4" s="222"/>
      <c r="M4" s="222"/>
      <c r="N4" s="222"/>
      <c r="O4" s="222"/>
      <c r="P4" s="223"/>
    </row>
    <row r="5" spans="1:16" ht="37.950000000000003" customHeight="1" thickBot="1" x14ac:dyDescent="0.35">
      <c r="B5" s="57">
        <f>DOMINGO!D25</f>
        <v>10</v>
      </c>
      <c r="C5" s="58">
        <f>DOMINGO!C5</f>
        <v>4758</v>
      </c>
      <c r="D5" s="58">
        <f>DOMINGO!C8</f>
        <v>1.0305393112410657</v>
      </c>
      <c r="E5" s="58">
        <f>DOMINGO!M5</f>
        <v>475.8</v>
      </c>
      <c r="F5" s="59">
        <f>DOMINGO!M6</f>
        <v>0.10305393112410657</v>
      </c>
      <c r="G5" s="65"/>
      <c r="H5"/>
      <c r="I5" s="224"/>
      <c r="J5" s="225"/>
      <c r="K5" s="225"/>
      <c r="L5" s="225"/>
      <c r="M5" s="225"/>
      <c r="N5" s="225"/>
      <c r="O5" s="225"/>
      <c r="P5" s="226"/>
    </row>
    <row r="6" spans="1:16" thickBot="1" x14ac:dyDescent="0.35"/>
    <row r="7" spans="1:16" ht="28.8" x14ac:dyDescent="0.3">
      <c r="B7" s="215" t="s">
        <v>65</v>
      </c>
      <c r="C7" s="210"/>
      <c r="D7" s="210"/>
      <c r="E7" s="210"/>
      <c r="F7" s="211"/>
      <c r="G7" s="64"/>
      <c r="I7" s="215" t="s">
        <v>66</v>
      </c>
      <c r="J7" s="210"/>
      <c r="K7" s="210"/>
      <c r="L7" s="210"/>
      <c r="M7" s="210"/>
      <c r="N7" s="210"/>
      <c r="O7" s="210"/>
      <c r="P7" s="211"/>
    </row>
    <row r="8" spans="1:16" ht="16.95" customHeight="1" thickBot="1" x14ac:dyDescent="0.35">
      <c r="B8" s="212"/>
      <c r="C8" s="213"/>
      <c r="D8" s="213"/>
      <c r="E8" s="213"/>
      <c r="F8" s="214"/>
      <c r="G8" s="64"/>
      <c r="I8" s="212"/>
      <c r="J8" s="213"/>
      <c r="K8" s="213"/>
      <c r="L8" s="213"/>
      <c r="M8" s="213"/>
      <c r="N8" s="213"/>
      <c r="O8" s="213"/>
      <c r="P8" s="214"/>
    </row>
    <row r="9" spans="1:16" ht="61.95" customHeight="1" x14ac:dyDescent="0.3">
      <c r="B9" s="200" t="s">
        <v>71</v>
      </c>
      <c r="C9" s="201"/>
      <c r="D9" s="201"/>
      <c r="E9" s="201"/>
      <c r="F9" s="201"/>
      <c r="G9" s="62"/>
      <c r="I9" s="216" t="s">
        <v>80</v>
      </c>
      <c r="J9" s="217"/>
      <c r="K9" s="217"/>
      <c r="L9" s="217"/>
      <c r="M9" s="217"/>
      <c r="N9" s="217"/>
      <c r="O9" s="217"/>
      <c r="P9" s="217"/>
    </row>
    <row r="10" spans="1:16" ht="49.95" customHeight="1" x14ac:dyDescent="0.3">
      <c r="B10" s="202" t="s">
        <v>78</v>
      </c>
      <c r="C10" s="203"/>
      <c r="D10" s="203"/>
      <c r="E10" s="203"/>
      <c r="F10" s="203"/>
      <c r="G10" s="61"/>
      <c r="I10" s="204" t="s">
        <v>72</v>
      </c>
      <c r="J10" s="204"/>
      <c r="K10" s="204"/>
      <c r="L10" s="204"/>
      <c r="M10" s="204"/>
      <c r="N10" s="204"/>
      <c r="O10" s="204"/>
      <c r="P10" s="204"/>
    </row>
    <row r="11" spans="1:16" ht="61.95" customHeight="1" x14ac:dyDescent="0.3">
      <c r="B11" s="202" t="s">
        <v>79</v>
      </c>
      <c r="C11" s="202"/>
      <c r="D11" s="202"/>
      <c r="E11" s="202"/>
      <c r="F11" s="202"/>
      <c r="I11" s="204" t="s">
        <v>81</v>
      </c>
      <c r="J11" s="204"/>
      <c r="K11" s="204"/>
      <c r="L11" s="204"/>
      <c r="M11" s="204"/>
      <c r="N11" s="204"/>
      <c r="O11" s="204"/>
      <c r="P11" s="204"/>
    </row>
    <row r="12" spans="1:16" ht="49.95" customHeight="1" x14ac:dyDescent="0.3">
      <c r="I12" s="204" t="s">
        <v>70</v>
      </c>
      <c r="J12" s="204"/>
      <c r="K12" s="204"/>
      <c r="L12" s="204"/>
      <c r="M12" s="204"/>
      <c r="N12" s="204"/>
      <c r="O12" s="204"/>
      <c r="P12" s="204"/>
    </row>
    <row r="13" spans="1:16" ht="49.95" customHeight="1" thickBot="1" x14ac:dyDescent="0.35">
      <c r="I13" s="204"/>
      <c r="J13" s="204"/>
      <c r="K13" s="204"/>
      <c r="L13" s="204"/>
      <c r="M13" s="204"/>
      <c r="N13" s="204"/>
      <c r="O13" s="204"/>
      <c r="P13" s="204"/>
    </row>
    <row r="14" spans="1:16" ht="15" customHeight="1" x14ac:dyDescent="0.3">
      <c r="B14" s="209" t="s">
        <v>98</v>
      </c>
      <c r="C14" s="210"/>
      <c r="D14" s="210"/>
      <c r="E14" s="210"/>
      <c r="F14" s="211"/>
      <c r="G14" s="64"/>
      <c r="I14" s="215" t="s">
        <v>67</v>
      </c>
      <c r="J14" s="210"/>
      <c r="K14" s="210"/>
      <c r="L14" s="210"/>
      <c r="M14" s="210"/>
      <c r="N14" s="210"/>
      <c r="O14" s="210"/>
      <c r="P14" s="211"/>
    </row>
    <row r="15" spans="1:16" ht="16.05" customHeight="1" thickBot="1" x14ac:dyDescent="0.35">
      <c r="B15" s="212"/>
      <c r="C15" s="213"/>
      <c r="D15" s="213"/>
      <c r="E15" s="213"/>
      <c r="F15" s="214"/>
      <c r="G15" s="64"/>
      <c r="I15" s="212"/>
      <c r="J15" s="213"/>
      <c r="K15" s="213"/>
      <c r="L15" s="213"/>
      <c r="M15" s="213"/>
      <c r="N15" s="213"/>
      <c r="O15" s="213"/>
      <c r="P15" s="214"/>
    </row>
    <row r="16" spans="1:16" ht="46.05" customHeight="1" x14ac:dyDescent="0.3">
      <c r="B16" s="207" t="s">
        <v>87</v>
      </c>
      <c r="C16" s="208"/>
      <c r="D16" s="208"/>
      <c r="E16" s="208"/>
      <c r="F16" s="208"/>
      <c r="I16" s="189" t="s">
        <v>101</v>
      </c>
      <c r="J16" s="190"/>
      <c r="K16" s="60"/>
      <c r="L16" s="189" t="s">
        <v>104</v>
      </c>
      <c r="M16" s="190"/>
      <c r="N16" s="60"/>
      <c r="O16" s="189" t="s">
        <v>117</v>
      </c>
      <c r="P16" s="190"/>
    </row>
    <row r="17" spans="1:16" ht="54" customHeight="1" x14ac:dyDescent="0.3">
      <c r="B17" s="206" t="s">
        <v>88</v>
      </c>
      <c r="C17" s="205"/>
      <c r="D17" s="205"/>
      <c r="E17" s="205"/>
      <c r="F17" s="205"/>
      <c r="I17" s="184" t="s">
        <v>102</v>
      </c>
      <c r="J17" s="185"/>
      <c r="K17" s="63"/>
      <c r="L17" s="184" t="s">
        <v>105</v>
      </c>
      <c r="M17" s="185"/>
      <c r="N17" s="63"/>
      <c r="O17" s="184" t="s">
        <v>118</v>
      </c>
      <c r="P17" s="185"/>
    </row>
    <row r="18" spans="1:16" ht="46.05" customHeight="1" x14ac:dyDescent="0.3">
      <c r="B18" s="206" t="s">
        <v>89</v>
      </c>
      <c r="C18" s="205"/>
      <c r="D18" s="205"/>
      <c r="E18" s="205"/>
      <c r="F18" s="205"/>
      <c r="I18" s="182" t="s">
        <v>106</v>
      </c>
      <c r="J18" s="183"/>
      <c r="K18" s="66"/>
      <c r="L18" s="182" t="s">
        <v>110</v>
      </c>
      <c r="M18" s="183"/>
      <c r="N18" s="66"/>
      <c r="O18" s="186" t="s">
        <v>119</v>
      </c>
      <c r="P18" s="183"/>
    </row>
    <row r="19" spans="1:16" ht="46.05" customHeight="1" x14ac:dyDescent="0.3">
      <c r="B19" s="206" t="s">
        <v>90</v>
      </c>
      <c r="C19" s="205"/>
      <c r="D19" s="205"/>
      <c r="E19" s="205"/>
      <c r="F19" s="205"/>
      <c r="I19" s="182" t="s">
        <v>103</v>
      </c>
      <c r="J19" s="183"/>
      <c r="K19" s="66"/>
      <c r="L19" s="187" t="s">
        <v>111</v>
      </c>
      <c r="M19" s="187"/>
      <c r="N19" s="66"/>
      <c r="O19" s="182" t="s">
        <v>120</v>
      </c>
      <c r="P19" s="183"/>
    </row>
    <row r="20" spans="1:16" ht="46.05" customHeight="1" x14ac:dyDescent="0.3">
      <c r="B20" s="204" t="s">
        <v>74</v>
      </c>
      <c r="C20" s="205"/>
      <c r="D20" s="205"/>
      <c r="E20" s="205"/>
      <c r="F20" s="205"/>
      <c r="I20" s="182" t="s">
        <v>107</v>
      </c>
      <c r="J20" s="183"/>
      <c r="K20" s="66"/>
      <c r="L20" s="182" t="s">
        <v>112</v>
      </c>
      <c r="M20" s="183"/>
      <c r="N20" s="66"/>
      <c r="O20" s="182" t="s">
        <v>121</v>
      </c>
      <c r="P20" s="183"/>
    </row>
    <row r="21" spans="1:16" ht="46.05" customHeight="1" x14ac:dyDescent="0.3">
      <c r="I21" s="182" t="s">
        <v>108</v>
      </c>
      <c r="J21" s="183"/>
      <c r="K21" s="66"/>
      <c r="L21" s="182" t="s">
        <v>113</v>
      </c>
      <c r="M21" s="183"/>
      <c r="N21" s="66"/>
      <c r="O21" s="182" t="s">
        <v>122</v>
      </c>
      <c r="P21" s="183"/>
    </row>
    <row r="22" spans="1:16" ht="46.05" customHeight="1" x14ac:dyDescent="0.3">
      <c r="I22" s="182" t="s">
        <v>109</v>
      </c>
      <c r="J22" s="183"/>
      <c r="K22" s="66"/>
      <c r="L22" s="188" t="s">
        <v>114</v>
      </c>
      <c r="M22" s="188"/>
      <c r="N22" s="67"/>
      <c r="O22" s="182" t="s">
        <v>123</v>
      </c>
      <c r="P22" s="183"/>
    </row>
    <row r="23" spans="1:16" ht="46.05" customHeight="1" x14ac:dyDescent="0.3">
      <c r="K23" s="66"/>
      <c r="L23" s="182" t="s">
        <v>115</v>
      </c>
      <c r="M23" s="183"/>
      <c r="N23" s="66"/>
      <c r="O23" s="182" t="s">
        <v>124</v>
      </c>
      <c r="P23" s="183"/>
    </row>
    <row r="24" spans="1:16" ht="46.05" customHeight="1" x14ac:dyDescent="0.3">
      <c r="L24" s="182" t="s">
        <v>116</v>
      </c>
      <c r="M24" s="183"/>
      <c r="N24" s="66"/>
    </row>
    <row r="25" spans="1:16" ht="46.05" customHeight="1" thickBot="1" x14ac:dyDescent="0.35"/>
    <row r="26" spans="1:16" ht="29.4" thickBot="1" x14ac:dyDescent="0.35">
      <c r="A26" s="191" t="s">
        <v>68</v>
      </c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3"/>
    </row>
    <row r="27" spans="1:16" ht="127.95" customHeight="1" thickBot="1" x14ac:dyDescent="0.35">
      <c r="A27" s="194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6"/>
    </row>
    <row r="28" spans="1:16" thickBot="1" x14ac:dyDescent="0.35"/>
    <row r="29" spans="1:16" ht="29.4" thickBot="1" x14ac:dyDescent="0.35">
      <c r="A29" s="191" t="s">
        <v>69</v>
      </c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3"/>
    </row>
    <row r="30" spans="1:16" ht="127.95" customHeight="1" thickBot="1" x14ac:dyDescent="0.35">
      <c r="A30" s="197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9"/>
    </row>
    <row r="31" spans="1:16" ht="14.4" x14ac:dyDescent="0.3"/>
    <row r="32" spans="1:16" ht="14.4" x14ac:dyDescent="0.3"/>
  </sheetData>
  <mergeCells count="48">
    <mergeCell ref="B1:E1"/>
    <mergeCell ref="O1:P1"/>
    <mergeCell ref="A2:P2"/>
    <mergeCell ref="I4:P5"/>
    <mergeCell ref="B7:F8"/>
    <mergeCell ref="I7:P8"/>
    <mergeCell ref="B9:F9"/>
    <mergeCell ref="I9:P9"/>
    <mergeCell ref="B10:F10"/>
    <mergeCell ref="I10:P10"/>
    <mergeCell ref="B11:F11"/>
    <mergeCell ref="I11:P11"/>
    <mergeCell ref="I12:P13"/>
    <mergeCell ref="B14:F15"/>
    <mergeCell ref="I14:P15"/>
    <mergeCell ref="B16:F16"/>
    <mergeCell ref="I16:J16"/>
    <mergeCell ref="L16:M16"/>
    <mergeCell ref="O16:P16"/>
    <mergeCell ref="B17:F17"/>
    <mergeCell ref="I17:J17"/>
    <mergeCell ref="L17:M17"/>
    <mergeCell ref="O17:P17"/>
    <mergeCell ref="B18:F18"/>
    <mergeCell ref="I18:J18"/>
    <mergeCell ref="L18:M18"/>
    <mergeCell ref="O18:P18"/>
    <mergeCell ref="B19:F19"/>
    <mergeCell ref="I19:J19"/>
    <mergeCell ref="L19:M19"/>
    <mergeCell ref="O19:P19"/>
    <mergeCell ref="B20:F20"/>
    <mergeCell ref="I20:J20"/>
    <mergeCell ref="L20:M20"/>
    <mergeCell ref="O20:P20"/>
    <mergeCell ref="I21:J21"/>
    <mergeCell ref="L21:M21"/>
    <mergeCell ref="O21:P21"/>
    <mergeCell ref="I22:J22"/>
    <mergeCell ref="L22:M22"/>
    <mergeCell ref="O22:P22"/>
    <mergeCell ref="A30:P30"/>
    <mergeCell ref="L23:M23"/>
    <mergeCell ref="O23:P23"/>
    <mergeCell ref="L24:M24"/>
    <mergeCell ref="A26:P26"/>
    <mergeCell ref="A27:P27"/>
    <mergeCell ref="A29:P29"/>
  </mergeCells>
  <pageMargins left="0.7" right="0.7" top="0.75" bottom="0.75" header="0.3" footer="0.3"/>
  <pageSetup scale="4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1B36-1D21-9B48-9745-D058ECCEA8E8}">
  <sheetPr>
    <tabColor theme="5" tint="0.39997558519241921"/>
    <pageSetUpPr fitToPage="1"/>
  </sheetPr>
  <dimension ref="A1:S53"/>
  <sheetViews>
    <sheetView showGridLines="0" topLeftCell="H26" zoomScale="120" zoomScaleNormal="120" workbookViewId="0">
      <selection activeCell="O33" activeCellId="1" sqref="J33:M35 O33:P36"/>
    </sheetView>
  </sheetViews>
  <sheetFormatPr baseColWidth="10" defaultColWidth="0" defaultRowHeight="15" customHeight="1" zeroHeight="1" x14ac:dyDescent="0.3"/>
  <cols>
    <col min="1" max="1" width="8.77734375" style="27" customWidth="1"/>
    <col min="2" max="2" width="14.6640625" style="27" customWidth="1"/>
    <col min="3" max="3" width="24.6640625" style="27" bestFit="1" customWidth="1"/>
    <col min="4" max="4" width="17.77734375" style="27" bestFit="1" customWidth="1"/>
    <col min="5" max="5" width="27.109375" style="27" customWidth="1"/>
    <col min="6" max="6" width="12.33203125" style="27" bestFit="1" customWidth="1"/>
    <col min="7" max="7" width="13.109375" style="27" bestFit="1" customWidth="1"/>
    <col min="8" max="8" width="19.109375" style="27" bestFit="1" customWidth="1"/>
    <col min="9" max="9" width="23.6640625" style="27" bestFit="1" customWidth="1"/>
    <col min="10" max="10" width="13" style="27" customWidth="1"/>
    <col min="11" max="11" width="16.6640625" style="27" bestFit="1" customWidth="1"/>
    <col min="12" max="12" width="23.33203125" style="27" bestFit="1" customWidth="1"/>
    <col min="13" max="13" width="17.33203125" style="27" bestFit="1" customWidth="1"/>
    <col min="14" max="14" width="17.33203125" style="27" customWidth="1"/>
    <col min="15" max="15" width="10.77734375" style="27" customWidth="1"/>
    <col min="16" max="16" width="39.33203125" style="27" bestFit="1" customWidth="1"/>
    <col min="17" max="17" width="4.109375" style="38" bestFit="1" customWidth="1"/>
    <col min="18" max="18" width="18" bestFit="1" customWidth="1"/>
    <col min="19" max="19" width="8.77734375" customWidth="1"/>
    <col min="20" max="16384" width="8.77734375" hidden="1"/>
  </cols>
  <sheetData>
    <row r="1" spans="1:18" ht="98.25" customHeight="1" thickBot="1" x14ac:dyDescent="0.35">
      <c r="C1" s="139" t="s">
        <v>12</v>
      </c>
      <c r="D1" s="139"/>
      <c r="E1" s="139"/>
      <c r="G1" s="18"/>
      <c r="H1" s="18" t="s">
        <v>13</v>
      </c>
      <c r="I1" s="117">
        <v>29</v>
      </c>
      <c r="J1" s="19" t="s">
        <v>14</v>
      </c>
      <c r="K1" s="118"/>
      <c r="L1" s="19" t="s">
        <v>76</v>
      </c>
      <c r="M1" s="134" t="s">
        <v>126</v>
      </c>
      <c r="N1" s="118"/>
      <c r="P1" s="68" t="s">
        <v>56</v>
      </c>
      <c r="Q1" s="27"/>
    </row>
    <row r="2" spans="1:18" ht="51.75" customHeight="1" thickBot="1" x14ac:dyDescent="0.35">
      <c r="A2" s="144" t="s">
        <v>15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6"/>
    </row>
    <row r="3" spans="1:18" thickBot="1" x14ac:dyDescent="0.35">
      <c r="Q3" s="27"/>
    </row>
    <row r="4" spans="1:18" s="1" customFormat="1" ht="46.05" customHeight="1" thickBot="1" x14ac:dyDescent="0.35">
      <c r="A4" s="28"/>
      <c r="B4" s="140" t="s">
        <v>16</v>
      </c>
      <c r="C4" s="141"/>
      <c r="D4" s="28"/>
      <c r="E4" s="142" t="s">
        <v>19</v>
      </c>
      <c r="F4" s="143"/>
      <c r="G4" s="28"/>
      <c r="H4" s="140" t="s">
        <v>22</v>
      </c>
      <c r="I4" s="141"/>
      <c r="J4" s="3" t="s">
        <v>23</v>
      </c>
      <c r="K4" s="28"/>
      <c r="L4" s="140" t="s">
        <v>24</v>
      </c>
      <c r="M4" s="141"/>
      <c r="N4" s="28"/>
      <c r="O4" s="28"/>
      <c r="P4" s="161" t="s">
        <v>125</v>
      </c>
      <c r="Q4" s="28"/>
    </row>
    <row r="5" spans="1:18" ht="46.05" customHeight="1" x14ac:dyDescent="0.3">
      <c r="B5" s="20" t="s">
        <v>82</v>
      </c>
      <c r="C5" s="93"/>
      <c r="E5" s="21" t="s">
        <v>55</v>
      </c>
      <c r="F5" s="96"/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0</v>
      </c>
      <c r="P5" s="161"/>
      <c r="Q5" s="27"/>
    </row>
    <row r="6" spans="1:18" ht="46.05" customHeight="1" thickBot="1" x14ac:dyDescent="0.35">
      <c r="B6" s="39" t="s">
        <v>17</v>
      </c>
      <c r="C6" s="109">
        <f>C5*0.85</f>
        <v>0</v>
      </c>
      <c r="E6" s="5" t="s">
        <v>20</v>
      </c>
      <c r="F6" s="97"/>
      <c r="H6" s="22" t="s">
        <v>4</v>
      </c>
      <c r="I6" s="101">
        <v>0.05</v>
      </c>
      <c r="J6" s="100" t="e">
        <f>IF(+C8*I6&lt;1,1,C8*I6)</f>
        <v>#DIV/0!</v>
      </c>
      <c r="L6" s="6" t="s">
        <v>23</v>
      </c>
      <c r="M6" s="105" t="e">
        <f>C8/D25</f>
        <v>#DIV/0!</v>
      </c>
      <c r="P6" s="16" t="s">
        <v>2</v>
      </c>
      <c r="Q6" s="27"/>
    </row>
    <row r="7" spans="1:18" ht="46.05" customHeight="1" thickBot="1" x14ac:dyDescent="0.35">
      <c r="B7" s="40" t="s">
        <v>3</v>
      </c>
      <c r="C7" s="109">
        <f>+C5*0.15</f>
        <v>0</v>
      </c>
      <c r="E7" s="5" t="s">
        <v>21</v>
      </c>
      <c r="F7" s="94">
        <f>+F5*F6</f>
        <v>0</v>
      </c>
      <c r="H7" s="23" t="s">
        <v>5</v>
      </c>
      <c r="I7" s="102">
        <v>0.3</v>
      </c>
      <c r="J7" s="103" t="e">
        <f>IF(C8*I7&lt;1,1,C8*I7)</f>
        <v>#DIV/0!</v>
      </c>
      <c r="P7" s="107"/>
      <c r="Q7" s="27"/>
    </row>
    <row r="8" spans="1:18" ht="46.05" customHeight="1" thickBot="1" x14ac:dyDescent="0.35">
      <c r="B8" s="24" t="s">
        <v>18</v>
      </c>
      <c r="C8" s="95" t="e">
        <f>+C5/P9</f>
        <v>#DIV/0!</v>
      </c>
      <c r="E8" s="25" t="s">
        <v>83</v>
      </c>
      <c r="F8" s="98">
        <f>+C5*1.1</f>
        <v>0</v>
      </c>
      <c r="H8" s="29"/>
      <c r="I8" s="172" t="s">
        <v>77</v>
      </c>
      <c r="J8" s="173"/>
      <c r="L8" s="140" t="s">
        <v>57</v>
      </c>
      <c r="M8" s="141"/>
      <c r="P8" s="17" t="s">
        <v>6</v>
      </c>
      <c r="Q8" s="27"/>
    </row>
    <row r="9" spans="1:18" ht="46.05" customHeight="1" thickBot="1" x14ac:dyDescent="0.35">
      <c r="C9"/>
      <c r="E9" s="172" t="s">
        <v>91</v>
      </c>
      <c r="F9" s="173"/>
      <c r="H9"/>
      <c r="I9"/>
      <c r="J9" s="30"/>
      <c r="L9" s="4" t="s">
        <v>75</v>
      </c>
      <c r="M9" s="106"/>
      <c r="P9" s="108"/>
      <c r="Q9" s="27"/>
    </row>
    <row r="10" spans="1:18" ht="46.05" customHeight="1" thickBot="1" x14ac:dyDescent="0.35">
      <c r="B10" s="28"/>
      <c r="C10" s="28"/>
      <c r="J10"/>
      <c r="P10" s="181" t="s">
        <v>26</v>
      </c>
      <c r="Q10" s="27"/>
    </row>
    <row r="11" spans="1:18" ht="46.05" customHeight="1" thickBot="1" x14ac:dyDescent="0.35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69"/>
      <c r="J11" s="169"/>
      <c r="K11" s="169"/>
      <c r="L11" s="169"/>
      <c r="M11" s="169"/>
      <c r="N11" s="119"/>
      <c r="P11" s="181"/>
      <c r="Q11" s="27"/>
    </row>
    <row r="12" spans="1:18" ht="46.05" customHeight="1" thickBot="1" x14ac:dyDescent="0.35">
      <c r="B12" s="42" t="s">
        <v>27</v>
      </c>
      <c r="C12" s="69"/>
      <c r="D12" s="70"/>
      <c r="E12" s="70"/>
      <c r="F12" s="70"/>
      <c r="G12" s="85"/>
      <c r="H12" s="86">
        <f>SUM(C12:G12)</f>
        <v>0</v>
      </c>
      <c r="I12" s="169"/>
      <c r="J12" s="169"/>
      <c r="K12" s="169"/>
      <c r="L12" s="169"/>
      <c r="M12" s="169"/>
      <c r="N12" s="119"/>
      <c r="O12"/>
      <c r="P12" s="16" t="s">
        <v>2</v>
      </c>
      <c r="Q12" s="27"/>
    </row>
    <row r="13" spans="1:18" ht="46.05" customHeight="1" thickBot="1" x14ac:dyDescent="0.35">
      <c r="B13" s="43" t="s">
        <v>28</v>
      </c>
      <c r="C13" s="87" t="e">
        <f>+C12/$H$12</f>
        <v>#DIV/0!</v>
      </c>
      <c r="D13" s="88" t="e">
        <f>+D12/$H$12</f>
        <v>#DIV/0!</v>
      </c>
      <c r="E13" s="88" t="e">
        <f>+E12/$H$12</f>
        <v>#DIV/0!</v>
      </c>
      <c r="F13" s="88" t="e">
        <f>+F12/$H$12</f>
        <v>#DIV/0!</v>
      </c>
      <c r="G13" s="88" t="e">
        <f>+G12/$H$12</f>
        <v>#DIV/0!</v>
      </c>
      <c r="H13" s="89"/>
      <c r="I13" s="169"/>
      <c r="J13" s="169"/>
      <c r="K13" s="169"/>
      <c r="L13" s="169"/>
      <c r="M13" s="169"/>
      <c r="N13" s="119"/>
      <c r="P13" s="107"/>
      <c r="Q13" s="27"/>
    </row>
    <row r="14" spans="1:18" ht="46.05" customHeight="1" thickBot="1" x14ac:dyDescent="0.35">
      <c r="B14" s="44" t="s">
        <v>29</v>
      </c>
      <c r="C14" s="90" t="e">
        <f>+C13*$C$5</f>
        <v>#DIV/0!</v>
      </c>
      <c r="D14" s="91" t="e">
        <f t="shared" ref="D14:G14" si="0">+D13*$C$5</f>
        <v>#DIV/0!</v>
      </c>
      <c r="E14" s="91" t="e">
        <f t="shared" si="0"/>
        <v>#DIV/0!</v>
      </c>
      <c r="F14" s="91" t="e">
        <f t="shared" si="0"/>
        <v>#DIV/0!</v>
      </c>
      <c r="G14" s="91" t="e">
        <f t="shared" si="0"/>
        <v>#DIV/0!</v>
      </c>
      <c r="H14" s="92" t="e">
        <f>+SUM(C14:G14)</f>
        <v>#DIV/0!</v>
      </c>
      <c r="I14" s="169"/>
      <c r="J14" s="169"/>
      <c r="K14" s="169"/>
      <c r="L14" s="169"/>
      <c r="M14" s="169"/>
      <c r="N14" s="119"/>
      <c r="P14" s="17" t="s">
        <v>6</v>
      </c>
      <c r="Q14" s="27"/>
    </row>
    <row r="15" spans="1:18" ht="35.25" customHeight="1" thickBot="1" x14ac:dyDescent="0.35">
      <c r="D15" s="28"/>
      <c r="E15" s="28"/>
      <c r="F15" s="28"/>
      <c r="G15" s="28"/>
      <c r="H15" s="28"/>
      <c r="I15" s="28"/>
      <c r="J15" s="28"/>
      <c r="K15" s="28"/>
      <c r="L15" s="28"/>
      <c r="P15" s="108"/>
      <c r="Q15" s="27"/>
    </row>
    <row r="16" spans="1:18" s="1" customFormat="1" ht="46.05" customHeight="1" thickBot="1" x14ac:dyDescent="0.35">
      <c r="A16" s="28"/>
      <c r="B16" s="163" t="s">
        <v>33</v>
      </c>
      <c r="C16" s="16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62" t="s">
        <v>97</v>
      </c>
      <c r="M16" s="162"/>
      <c r="N16" s="162"/>
      <c r="O16" s="162"/>
      <c r="P16" s="32"/>
      <c r="Q16" s="27"/>
      <c r="R16"/>
    </row>
    <row r="17" spans="1:19" s="26" customFormat="1" ht="46.05" customHeight="1" x14ac:dyDescent="0.3">
      <c r="A17" s="33"/>
      <c r="B17" s="165" t="s">
        <v>93</v>
      </c>
      <c r="C17" s="166"/>
      <c r="D17" s="132">
        <v>3.5</v>
      </c>
      <c r="E17" s="72">
        <f t="shared" ref="E17:E24" si="1">($C$5/$D$25)*D17</f>
        <v>0</v>
      </c>
      <c r="F17" s="73" t="e">
        <f t="shared" ref="F17:F24" si="2">IF((($C$8-$J$5)/$D$25)*D17&lt;1,1,((($C$8-$J$5)/$D$25)*D17))</f>
        <v>#DIV/0!</v>
      </c>
      <c r="G17" s="123"/>
      <c r="H17" s="74" t="e">
        <f t="shared" ref="H17:H24" si="3">IF(D17&gt;0,MAX(($J$6/$D$25)*D17,1),0)</f>
        <v>#DIV/0!</v>
      </c>
      <c r="I17" s="75" t="e">
        <f t="shared" ref="I17:I24" si="4">IF(D17&gt;0,MAX(($J$7/$D$25)*D17,1),0)</f>
        <v>#DIV/0!</v>
      </c>
      <c r="J17" s="34"/>
      <c r="K17" s="28"/>
      <c r="L17" s="162"/>
      <c r="M17" s="162"/>
      <c r="N17" s="162"/>
      <c r="O17" s="162"/>
      <c r="P17" s="32"/>
      <c r="Q17" s="27"/>
      <c r="R17"/>
    </row>
    <row r="18" spans="1:19" s="26" customFormat="1" ht="46.05" customHeight="1" x14ac:dyDescent="0.3">
      <c r="A18" s="33"/>
      <c r="B18" s="167" t="s">
        <v>94</v>
      </c>
      <c r="C18" s="168"/>
      <c r="D18" s="71">
        <v>7</v>
      </c>
      <c r="E18" s="76">
        <f t="shared" si="1"/>
        <v>0</v>
      </c>
      <c r="F18" s="77" t="e">
        <f t="shared" si="2"/>
        <v>#DIV/0!</v>
      </c>
      <c r="G18" s="124"/>
      <c r="H18" s="78" t="e">
        <f t="shared" si="3"/>
        <v>#DIV/0!</v>
      </c>
      <c r="I18" s="79" t="e">
        <f t="shared" si="4"/>
        <v>#DIV/0!</v>
      </c>
      <c r="J18" s="34"/>
      <c r="K18" s="28"/>
      <c r="L18" s="162"/>
      <c r="M18" s="162"/>
      <c r="N18" s="162"/>
      <c r="O18" s="162"/>
      <c r="P18" s="32"/>
      <c r="Q18" s="27"/>
      <c r="R18"/>
    </row>
    <row r="19" spans="1:19" s="26" customFormat="1" ht="46.05" customHeight="1" x14ac:dyDescent="0.3">
      <c r="A19" s="33"/>
      <c r="B19" s="167" t="s">
        <v>95</v>
      </c>
      <c r="C19" s="168"/>
      <c r="D19" s="71">
        <v>7</v>
      </c>
      <c r="E19" s="76">
        <f t="shared" si="1"/>
        <v>0</v>
      </c>
      <c r="F19" s="77" t="e">
        <f t="shared" si="2"/>
        <v>#DIV/0!</v>
      </c>
      <c r="G19" s="124"/>
      <c r="H19" s="78" t="e">
        <f t="shared" si="3"/>
        <v>#DIV/0!</v>
      </c>
      <c r="I19" s="79" t="e">
        <f t="shared" si="4"/>
        <v>#DIV/0!</v>
      </c>
      <c r="J19" s="34"/>
      <c r="K19" s="28"/>
      <c r="L19" s="162"/>
      <c r="M19" s="162"/>
      <c r="N19" s="162"/>
      <c r="O19" s="162"/>
      <c r="P19" s="32"/>
      <c r="Q19" s="27"/>
      <c r="R19"/>
    </row>
    <row r="20" spans="1:19" s="26" customFormat="1" ht="46.05" customHeight="1" x14ac:dyDescent="0.3">
      <c r="A20" s="33"/>
      <c r="B20" s="167" t="s">
        <v>96</v>
      </c>
      <c r="C20" s="168"/>
      <c r="D20" s="71">
        <v>7</v>
      </c>
      <c r="E20" s="76">
        <f t="shared" si="1"/>
        <v>0</v>
      </c>
      <c r="F20" s="77" t="e">
        <f t="shared" si="2"/>
        <v>#DIV/0!</v>
      </c>
      <c r="G20" s="124"/>
      <c r="H20" s="78" t="e">
        <f t="shared" si="3"/>
        <v>#DIV/0!</v>
      </c>
      <c r="I20" s="79" t="e">
        <f t="shared" si="4"/>
        <v>#DIV/0!</v>
      </c>
      <c r="J20" s="34"/>
      <c r="K20" s="28"/>
      <c r="L20" s="162"/>
      <c r="M20" s="162"/>
      <c r="N20" s="162"/>
      <c r="O20" s="162"/>
      <c r="P20" s="32"/>
      <c r="Q20" s="27"/>
      <c r="R20"/>
    </row>
    <row r="21" spans="1:19" s="26" customFormat="1" ht="46.05" customHeight="1" x14ac:dyDescent="0.3">
      <c r="A21" s="33"/>
      <c r="B21" s="167"/>
      <c r="C21" s="168"/>
      <c r="D21" s="71"/>
      <c r="E21" s="76">
        <f t="shared" si="1"/>
        <v>0</v>
      </c>
      <c r="F21" s="77" t="e">
        <f t="shared" si="2"/>
        <v>#DIV/0!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62"/>
      <c r="M21" s="162"/>
      <c r="N21" s="162"/>
      <c r="O21" s="162"/>
      <c r="P21" s="32"/>
      <c r="Q21" s="27"/>
      <c r="R21"/>
    </row>
    <row r="22" spans="1:19" s="26" customFormat="1" ht="46.05" customHeight="1" x14ac:dyDescent="0.3">
      <c r="A22" s="33"/>
      <c r="B22" s="167"/>
      <c r="C22" s="168"/>
      <c r="D22" s="71"/>
      <c r="E22" s="76">
        <f t="shared" si="1"/>
        <v>0</v>
      </c>
      <c r="F22" s="77" t="e">
        <f t="shared" si="2"/>
        <v>#DIV/0!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62"/>
      <c r="M22" s="162"/>
      <c r="N22" s="162"/>
      <c r="O22" s="162"/>
      <c r="P22" s="32"/>
      <c r="Q22" s="27"/>
      <c r="R22"/>
    </row>
    <row r="23" spans="1:19" s="26" customFormat="1" ht="46.05" customHeight="1" x14ac:dyDescent="0.3">
      <c r="A23" s="33"/>
      <c r="B23" s="170"/>
      <c r="C23" s="171"/>
      <c r="D23" s="10"/>
      <c r="E23" s="76">
        <f t="shared" si="1"/>
        <v>0</v>
      </c>
      <c r="F23" s="77" t="e">
        <f t="shared" si="2"/>
        <v>#DIV/0!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62"/>
      <c r="M23" s="162"/>
      <c r="N23" s="162"/>
      <c r="O23" s="162"/>
      <c r="P23" s="32"/>
      <c r="Q23" s="27"/>
      <c r="R23"/>
    </row>
    <row r="24" spans="1:19" s="26" customFormat="1" ht="46.05" customHeight="1" thickBot="1" x14ac:dyDescent="0.35">
      <c r="A24" s="33"/>
      <c r="B24" s="170"/>
      <c r="C24" s="171"/>
      <c r="D24" s="10"/>
      <c r="E24" s="76">
        <f t="shared" si="1"/>
        <v>0</v>
      </c>
      <c r="F24" s="77" t="e">
        <f t="shared" si="2"/>
        <v>#DIV/0!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62"/>
      <c r="M24" s="162"/>
      <c r="N24" s="162"/>
      <c r="O24" s="162"/>
      <c r="P24" s="32"/>
      <c r="Q24" s="27"/>
      <c r="R24"/>
    </row>
    <row r="25" spans="1:19" s="26" customFormat="1" ht="46.05" customHeight="1" thickBot="1" x14ac:dyDescent="0.35">
      <c r="A25" s="33"/>
      <c r="B25" s="174" t="s">
        <v>0</v>
      </c>
      <c r="C25" s="175" t="s">
        <v>0</v>
      </c>
      <c r="D25" s="84">
        <f>+SUM(D17:D24)</f>
        <v>24.5</v>
      </c>
      <c r="E25" s="80">
        <f>SUM(E17:E24)</f>
        <v>0</v>
      </c>
      <c r="F25" s="81" t="e">
        <f>SUM(F17:F24)</f>
        <v>#DIV/0!</v>
      </c>
      <c r="G25" s="81">
        <f>SUM(G17:G24)</f>
        <v>0</v>
      </c>
      <c r="H25" s="82" t="e">
        <f>+J6</f>
        <v>#DIV/0!</v>
      </c>
      <c r="I25" s="83" t="e">
        <f>+J7</f>
        <v>#DIV/0!</v>
      </c>
      <c r="J25" s="35"/>
      <c r="K25" s="28"/>
      <c r="L25" s="162"/>
      <c r="M25" s="162"/>
      <c r="N25" s="162"/>
      <c r="O25" s="162"/>
      <c r="P25" s="32"/>
      <c r="Q25" s="27"/>
      <c r="R25"/>
    </row>
    <row r="26" spans="1:19" ht="56.55" customHeight="1" thickBot="1" x14ac:dyDescent="0.35">
      <c r="F26" s="28"/>
      <c r="Q26" s="27"/>
    </row>
    <row r="27" spans="1:19" ht="62.25" customHeight="1" thickBot="1" x14ac:dyDescent="0.35">
      <c r="A27" s="144" t="s">
        <v>39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6"/>
    </row>
    <row r="28" spans="1:19" ht="15.45" customHeight="1" thickBot="1" x14ac:dyDescent="0.35">
      <c r="Q28" s="27"/>
    </row>
    <row r="29" spans="1:19" ht="31.8" thickBot="1" x14ac:dyDescent="0.35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 x14ac:dyDescent="0.35">
      <c r="A30" s="33"/>
      <c r="B30" s="158" t="s">
        <v>46</v>
      </c>
      <c r="C30" s="159" t="s">
        <v>0</v>
      </c>
      <c r="D30" s="115">
        <f>+C5</f>
        <v>0</v>
      </c>
      <c r="E30" s="116">
        <v>25600</v>
      </c>
      <c r="F30" s="115" t="e">
        <f>+C8</f>
        <v>#DIV/0!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5" customHeight="1" thickBot="1" x14ac:dyDescent="0.35">
      <c r="Q31" s="27"/>
    </row>
    <row r="32" spans="1:19" s="1" customFormat="1" ht="58.05" customHeight="1" thickBot="1" x14ac:dyDescent="0.35">
      <c r="A32" s="28"/>
      <c r="B32" s="163" t="s">
        <v>47</v>
      </c>
      <c r="C32" s="164"/>
      <c r="D32" s="14" t="s">
        <v>34</v>
      </c>
      <c r="E32" s="152" t="s">
        <v>48</v>
      </c>
      <c r="F32" s="153"/>
      <c r="G32" s="154" t="s">
        <v>49</v>
      </c>
      <c r="H32" s="155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05" customHeight="1" x14ac:dyDescent="0.3">
      <c r="A33" s="33"/>
      <c r="B33" s="179" t="str">
        <f t="shared" ref="B33:B40" si="5">B17</f>
        <v>ELIAS</v>
      </c>
      <c r="C33" s="180"/>
      <c r="D33" s="133">
        <f t="shared" ref="D33:D40" si="6">D17</f>
        <v>3.5</v>
      </c>
      <c r="E33" s="160"/>
      <c r="F33" s="160"/>
      <c r="G33" s="156"/>
      <c r="H33" s="157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05" customHeight="1" x14ac:dyDescent="0.3">
      <c r="A34" s="33"/>
      <c r="B34" s="150" t="str">
        <f t="shared" si="5"/>
        <v>CATALINA</v>
      </c>
      <c r="C34" s="151"/>
      <c r="D34" s="112">
        <f t="shared" si="6"/>
        <v>7</v>
      </c>
      <c r="E34" s="147"/>
      <c r="F34" s="147"/>
      <c r="G34" s="148"/>
      <c r="H34" s="149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05" customHeight="1" x14ac:dyDescent="0.3">
      <c r="A35" s="33"/>
      <c r="B35" s="150" t="str">
        <f t="shared" si="5"/>
        <v>VICTOR</v>
      </c>
      <c r="C35" s="151"/>
      <c r="D35" s="112">
        <f t="shared" si="6"/>
        <v>7</v>
      </c>
      <c r="E35" s="147"/>
      <c r="F35" s="147"/>
      <c r="G35" s="148"/>
      <c r="H35" s="149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05" customHeight="1" x14ac:dyDescent="0.3">
      <c r="A36" s="33"/>
      <c r="B36" s="150" t="str">
        <f t="shared" si="5"/>
        <v>JIMENA</v>
      </c>
      <c r="C36" s="151"/>
      <c r="D36" s="112">
        <f t="shared" si="6"/>
        <v>7</v>
      </c>
      <c r="E36" s="147"/>
      <c r="F36" s="147"/>
      <c r="G36" s="148"/>
      <c r="H36" s="149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05" customHeight="1" x14ac:dyDescent="0.3">
      <c r="A37" s="33"/>
      <c r="B37" s="150">
        <f t="shared" si="5"/>
        <v>0</v>
      </c>
      <c r="C37" s="151"/>
      <c r="D37" s="112">
        <f t="shared" si="6"/>
        <v>0</v>
      </c>
      <c r="E37" s="147"/>
      <c r="F37" s="147"/>
      <c r="G37" s="148"/>
      <c r="H37" s="149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05" customHeight="1" x14ac:dyDescent="0.3">
      <c r="A38" s="33"/>
      <c r="B38" s="150">
        <f t="shared" si="5"/>
        <v>0</v>
      </c>
      <c r="C38" s="151"/>
      <c r="D38" s="112">
        <f t="shared" si="6"/>
        <v>0</v>
      </c>
      <c r="E38" s="147"/>
      <c r="F38" s="147"/>
      <c r="G38" s="148"/>
      <c r="H38" s="149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05" customHeight="1" x14ac:dyDescent="0.3">
      <c r="A39" s="33"/>
      <c r="B39" s="150">
        <f t="shared" si="5"/>
        <v>0</v>
      </c>
      <c r="C39" s="151"/>
      <c r="D39" s="112">
        <f t="shared" si="6"/>
        <v>0</v>
      </c>
      <c r="E39" s="147"/>
      <c r="F39" s="147"/>
      <c r="G39" s="148"/>
      <c r="H39" s="149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05" customHeight="1" x14ac:dyDescent="0.3">
      <c r="A40" s="33"/>
      <c r="B40" s="150">
        <f t="shared" si="5"/>
        <v>0</v>
      </c>
      <c r="C40" s="151"/>
      <c r="D40" s="112">
        <f t="shared" si="6"/>
        <v>0</v>
      </c>
      <c r="E40" s="147"/>
      <c r="F40" s="147"/>
      <c r="G40" s="148"/>
      <c r="H40" s="149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05" customHeight="1" x14ac:dyDescent="0.3">
      <c r="A41" s="33"/>
      <c r="B41" s="150" t="s">
        <v>0</v>
      </c>
      <c r="C41" s="151"/>
      <c r="D41" s="112">
        <f>SUM(D33:D40)</f>
        <v>24.5</v>
      </c>
      <c r="E41" s="178">
        <f t="shared" ref="E41:H41" si="9">SUM(E33:E40)</f>
        <v>0</v>
      </c>
      <c r="F41" s="178">
        <f t="shared" si="9"/>
        <v>0</v>
      </c>
      <c r="G41" s="176">
        <f t="shared" si="9"/>
        <v>0</v>
      </c>
      <c r="H41" s="177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05" hidden="1" customHeight="1" thickTop="1" x14ac:dyDescent="0.3">
      <c r="A42"/>
    </row>
    <row r="43" spans="1:19" ht="14.4" x14ac:dyDescent="0.3"/>
    <row r="44" spans="1:19" ht="14.4" x14ac:dyDescent="0.3"/>
    <row r="45" spans="1:19" ht="14.4" x14ac:dyDescent="0.3"/>
    <row r="46" spans="1:19" ht="14.4" x14ac:dyDescent="0.3"/>
    <row r="47" spans="1:19" ht="14.4" x14ac:dyDescent="0.3"/>
    <row r="48" spans="1:19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</sheetData>
  <sheetProtection selectLockedCells="1"/>
  <mergeCells count="55">
    <mergeCell ref="C1:E1"/>
    <mergeCell ref="A2:Q2"/>
    <mergeCell ref="B4:C4"/>
    <mergeCell ref="E4:F4"/>
    <mergeCell ref="H4:I4"/>
    <mergeCell ref="L4:M4"/>
    <mergeCell ref="P4:P5"/>
    <mergeCell ref="B16:C16"/>
    <mergeCell ref="L16:O25"/>
    <mergeCell ref="B17:C17"/>
    <mergeCell ref="B18:C18"/>
    <mergeCell ref="B19:C19"/>
    <mergeCell ref="I8:J8"/>
    <mergeCell ref="L8:M8"/>
    <mergeCell ref="E9:F9"/>
    <mergeCell ref="P10:P11"/>
    <mergeCell ref="I11:M14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B34:C34"/>
    <mergeCell ref="E34:F34"/>
    <mergeCell ref="G34:H34"/>
    <mergeCell ref="B35:C35"/>
    <mergeCell ref="E35:F35"/>
    <mergeCell ref="G35:H35"/>
    <mergeCell ref="B36:C36"/>
    <mergeCell ref="E36:F36"/>
    <mergeCell ref="G36:H36"/>
    <mergeCell ref="B37:C37"/>
    <mergeCell ref="E37:F37"/>
    <mergeCell ref="G37:H37"/>
    <mergeCell ref="B38:C38"/>
    <mergeCell ref="E38:F38"/>
    <mergeCell ref="G38:H38"/>
    <mergeCell ref="B39:C39"/>
    <mergeCell ref="E39:F39"/>
    <mergeCell ref="G39:H39"/>
    <mergeCell ref="B40:C40"/>
    <mergeCell ref="E40:F40"/>
    <mergeCell ref="G40:H40"/>
    <mergeCell ref="B41:C41"/>
    <mergeCell ref="E41:F41"/>
    <mergeCell ref="G41:H41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FFA5-23CD-EE4D-91AF-BF13E45AEB56}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 x14ac:dyDescent="0.3"/>
  <cols>
    <col min="1" max="1" width="16" style="2" customWidth="1"/>
    <col min="2" max="2" width="18.77734375" style="2" bestFit="1" customWidth="1"/>
    <col min="3" max="4" width="10.77734375" style="2" customWidth="1"/>
    <col min="5" max="5" width="22.109375" style="2" customWidth="1"/>
    <col min="6" max="6" width="15.6640625" style="2" customWidth="1"/>
    <col min="7" max="7" width="14" style="2" customWidth="1"/>
    <col min="8" max="12" width="10.77734375" style="2" customWidth="1"/>
    <col min="13" max="14" width="11.33203125" style="2" customWidth="1"/>
    <col min="15" max="15" width="10.77734375" style="2" customWidth="1"/>
    <col min="16" max="16" width="15.33203125" style="2" customWidth="1"/>
    <col min="17" max="18" width="10.77734375" style="2" customWidth="1"/>
    <col min="19" max="16384" width="10.77734375" style="2" hidden="1"/>
  </cols>
  <sheetData>
    <row r="1" spans="1:16" ht="79.95" customHeight="1" thickBot="1" x14ac:dyDescent="0.35">
      <c r="A1" s="48"/>
      <c r="B1" s="218" t="s">
        <v>59</v>
      </c>
      <c r="C1" s="218"/>
      <c r="D1" s="218"/>
      <c r="E1" s="218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219" t="s">
        <v>56</v>
      </c>
      <c r="P1" s="220"/>
    </row>
    <row r="2" spans="1:16" ht="48" thickBot="1" x14ac:dyDescent="0.35">
      <c r="A2" s="144" t="s">
        <v>60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6"/>
    </row>
    <row r="3" spans="1:16" thickBot="1" x14ac:dyDescent="0.35"/>
    <row r="4" spans="1:16" ht="39.450000000000003" customHeight="1" x14ac:dyDescent="0.3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221" t="s">
        <v>73</v>
      </c>
      <c r="J4" s="222"/>
      <c r="K4" s="222"/>
      <c r="L4" s="222"/>
      <c r="M4" s="222"/>
      <c r="N4" s="222"/>
      <c r="O4" s="222"/>
      <c r="P4" s="223"/>
    </row>
    <row r="5" spans="1:16" ht="37.950000000000003" customHeight="1" thickBot="1" x14ac:dyDescent="0.35">
      <c r="B5" s="57">
        <f>DOMINGO!D25</f>
        <v>10</v>
      </c>
      <c r="C5" s="58">
        <f>DOMINGO!C5</f>
        <v>4758</v>
      </c>
      <c r="D5" s="58">
        <f>DOMINGO!C8</f>
        <v>1.0305393112410657</v>
      </c>
      <c r="E5" s="58">
        <f>DOMINGO!M5</f>
        <v>475.8</v>
      </c>
      <c r="F5" s="59">
        <f>DOMINGO!M6</f>
        <v>0.10305393112410657</v>
      </c>
      <c r="G5" s="65"/>
      <c r="H5"/>
      <c r="I5" s="224"/>
      <c r="J5" s="225"/>
      <c r="K5" s="225"/>
      <c r="L5" s="225"/>
      <c r="M5" s="225"/>
      <c r="N5" s="225"/>
      <c r="O5" s="225"/>
      <c r="P5" s="226"/>
    </row>
    <row r="6" spans="1:16" thickBot="1" x14ac:dyDescent="0.35"/>
    <row r="7" spans="1:16" ht="28.8" x14ac:dyDescent="0.3">
      <c r="B7" s="215" t="s">
        <v>65</v>
      </c>
      <c r="C7" s="210"/>
      <c r="D7" s="210"/>
      <c r="E7" s="210"/>
      <c r="F7" s="211"/>
      <c r="G7" s="64"/>
      <c r="I7" s="215" t="s">
        <v>66</v>
      </c>
      <c r="J7" s="210"/>
      <c r="K7" s="210"/>
      <c r="L7" s="210"/>
      <c r="M7" s="210"/>
      <c r="N7" s="210"/>
      <c r="O7" s="210"/>
      <c r="P7" s="211"/>
    </row>
    <row r="8" spans="1:16" ht="16.95" customHeight="1" thickBot="1" x14ac:dyDescent="0.35">
      <c r="B8" s="212"/>
      <c r="C8" s="213"/>
      <c r="D8" s="213"/>
      <c r="E8" s="213"/>
      <c r="F8" s="214"/>
      <c r="G8" s="64"/>
      <c r="I8" s="212"/>
      <c r="J8" s="213"/>
      <c r="K8" s="213"/>
      <c r="L8" s="213"/>
      <c r="M8" s="213"/>
      <c r="N8" s="213"/>
      <c r="O8" s="213"/>
      <c r="P8" s="214"/>
    </row>
    <row r="9" spans="1:16" ht="61.95" customHeight="1" x14ac:dyDescent="0.3">
      <c r="B9" s="200" t="s">
        <v>71</v>
      </c>
      <c r="C9" s="201"/>
      <c r="D9" s="201"/>
      <c r="E9" s="201"/>
      <c r="F9" s="201"/>
      <c r="G9" s="62"/>
      <c r="I9" s="216" t="s">
        <v>80</v>
      </c>
      <c r="J9" s="217"/>
      <c r="K9" s="217"/>
      <c r="L9" s="217"/>
      <c r="M9" s="217"/>
      <c r="N9" s="217"/>
      <c r="O9" s="217"/>
      <c r="P9" s="217"/>
    </row>
    <row r="10" spans="1:16" ht="49.95" customHeight="1" x14ac:dyDescent="0.3">
      <c r="B10" s="202" t="s">
        <v>78</v>
      </c>
      <c r="C10" s="203"/>
      <c r="D10" s="203"/>
      <c r="E10" s="203"/>
      <c r="F10" s="203"/>
      <c r="G10" s="61"/>
      <c r="I10" s="204" t="s">
        <v>72</v>
      </c>
      <c r="J10" s="204"/>
      <c r="K10" s="204"/>
      <c r="L10" s="204"/>
      <c r="M10" s="204"/>
      <c r="N10" s="204"/>
      <c r="O10" s="204"/>
      <c r="P10" s="204"/>
    </row>
    <row r="11" spans="1:16" ht="61.95" customHeight="1" x14ac:dyDescent="0.3">
      <c r="B11" s="202" t="s">
        <v>79</v>
      </c>
      <c r="C11" s="202"/>
      <c r="D11" s="202"/>
      <c r="E11" s="202"/>
      <c r="F11" s="202"/>
      <c r="I11" s="204" t="s">
        <v>81</v>
      </c>
      <c r="J11" s="204"/>
      <c r="K11" s="204"/>
      <c r="L11" s="204"/>
      <c r="M11" s="204"/>
      <c r="N11" s="204"/>
      <c r="O11" s="204"/>
      <c r="P11" s="204"/>
    </row>
    <row r="12" spans="1:16" ht="49.95" customHeight="1" x14ac:dyDescent="0.3">
      <c r="I12" s="204" t="s">
        <v>70</v>
      </c>
      <c r="J12" s="204"/>
      <c r="K12" s="204"/>
      <c r="L12" s="204"/>
      <c r="M12" s="204"/>
      <c r="N12" s="204"/>
      <c r="O12" s="204"/>
      <c r="P12" s="204"/>
    </row>
    <row r="13" spans="1:16" ht="49.95" customHeight="1" thickBot="1" x14ac:dyDescent="0.35">
      <c r="I13" s="204"/>
      <c r="J13" s="204"/>
      <c r="K13" s="204"/>
      <c r="L13" s="204"/>
      <c r="M13" s="204"/>
      <c r="N13" s="204"/>
      <c r="O13" s="204"/>
      <c r="P13" s="204"/>
    </row>
    <row r="14" spans="1:16" ht="15" customHeight="1" x14ac:dyDescent="0.3">
      <c r="B14" s="209" t="s">
        <v>98</v>
      </c>
      <c r="C14" s="210"/>
      <c r="D14" s="210"/>
      <c r="E14" s="210"/>
      <c r="F14" s="211"/>
      <c r="G14" s="64"/>
      <c r="I14" s="215" t="s">
        <v>67</v>
      </c>
      <c r="J14" s="210"/>
      <c r="K14" s="210"/>
      <c r="L14" s="210"/>
      <c r="M14" s="210"/>
      <c r="N14" s="210"/>
      <c r="O14" s="210"/>
      <c r="P14" s="211"/>
    </row>
    <row r="15" spans="1:16" ht="16.05" customHeight="1" thickBot="1" x14ac:dyDescent="0.35">
      <c r="B15" s="212"/>
      <c r="C15" s="213"/>
      <c r="D15" s="213"/>
      <c r="E15" s="213"/>
      <c r="F15" s="214"/>
      <c r="G15" s="64"/>
      <c r="I15" s="212"/>
      <c r="J15" s="213"/>
      <c r="K15" s="213"/>
      <c r="L15" s="213"/>
      <c r="M15" s="213"/>
      <c r="N15" s="213"/>
      <c r="O15" s="213"/>
      <c r="P15" s="214"/>
    </row>
    <row r="16" spans="1:16" ht="46.05" customHeight="1" x14ac:dyDescent="0.3">
      <c r="B16" s="207" t="s">
        <v>87</v>
      </c>
      <c r="C16" s="208"/>
      <c r="D16" s="208"/>
      <c r="E16" s="208"/>
      <c r="F16" s="208"/>
      <c r="I16" s="189" t="s">
        <v>101</v>
      </c>
      <c r="J16" s="190"/>
      <c r="K16" s="60"/>
      <c r="L16" s="189" t="s">
        <v>104</v>
      </c>
      <c r="M16" s="190"/>
      <c r="N16" s="60"/>
      <c r="O16" s="189" t="s">
        <v>117</v>
      </c>
      <c r="P16" s="190"/>
    </row>
    <row r="17" spans="1:16" ht="54" customHeight="1" x14ac:dyDescent="0.3">
      <c r="B17" s="206" t="s">
        <v>88</v>
      </c>
      <c r="C17" s="205"/>
      <c r="D17" s="205"/>
      <c r="E17" s="205"/>
      <c r="F17" s="205"/>
      <c r="I17" s="184" t="s">
        <v>102</v>
      </c>
      <c r="J17" s="185"/>
      <c r="K17" s="63"/>
      <c r="L17" s="184" t="s">
        <v>105</v>
      </c>
      <c r="M17" s="185"/>
      <c r="N17" s="63"/>
      <c r="O17" s="184" t="s">
        <v>118</v>
      </c>
      <c r="P17" s="185"/>
    </row>
    <row r="18" spans="1:16" ht="46.05" customHeight="1" x14ac:dyDescent="0.3">
      <c r="B18" s="206" t="s">
        <v>89</v>
      </c>
      <c r="C18" s="205"/>
      <c r="D18" s="205"/>
      <c r="E18" s="205"/>
      <c r="F18" s="205"/>
      <c r="I18" s="182" t="s">
        <v>106</v>
      </c>
      <c r="J18" s="183"/>
      <c r="K18" s="66"/>
      <c r="L18" s="182" t="s">
        <v>110</v>
      </c>
      <c r="M18" s="183"/>
      <c r="N18" s="66"/>
      <c r="O18" s="186" t="s">
        <v>119</v>
      </c>
      <c r="P18" s="183"/>
    </row>
    <row r="19" spans="1:16" ht="46.05" customHeight="1" x14ac:dyDescent="0.3">
      <c r="B19" s="206" t="s">
        <v>90</v>
      </c>
      <c r="C19" s="205"/>
      <c r="D19" s="205"/>
      <c r="E19" s="205"/>
      <c r="F19" s="205"/>
      <c r="I19" s="182" t="s">
        <v>103</v>
      </c>
      <c r="J19" s="183"/>
      <c r="K19" s="66"/>
      <c r="L19" s="187" t="s">
        <v>111</v>
      </c>
      <c r="M19" s="187"/>
      <c r="N19" s="66"/>
      <c r="O19" s="182" t="s">
        <v>120</v>
      </c>
      <c r="P19" s="183"/>
    </row>
    <row r="20" spans="1:16" ht="46.05" customHeight="1" x14ac:dyDescent="0.3">
      <c r="B20" s="204" t="s">
        <v>74</v>
      </c>
      <c r="C20" s="205"/>
      <c r="D20" s="205"/>
      <c r="E20" s="205"/>
      <c r="F20" s="205"/>
      <c r="I20" s="182" t="s">
        <v>107</v>
      </c>
      <c r="J20" s="183"/>
      <c r="K20" s="66"/>
      <c r="L20" s="182" t="s">
        <v>112</v>
      </c>
      <c r="M20" s="183"/>
      <c r="N20" s="66"/>
      <c r="O20" s="182" t="s">
        <v>121</v>
      </c>
      <c r="P20" s="183"/>
    </row>
    <row r="21" spans="1:16" ht="46.05" customHeight="1" x14ac:dyDescent="0.3">
      <c r="I21" s="182" t="s">
        <v>108</v>
      </c>
      <c r="J21" s="183"/>
      <c r="K21" s="66"/>
      <c r="L21" s="182" t="s">
        <v>113</v>
      </c>
      <c r="M21" s="183"/>
      <c r="N21" s="66"/>
      <c r="O21" s="182" t="s">
        <v>122</v>
      </c>
      <c r="P21" s="183"/>
    </row>
    <row r="22" spans="1:16" ht="46.05" customHeight="1" x14ac:dyDescent="0.3">
      <c r="I22" s="182" t="s">
        <v>109</v>
      </c>
      <c r="J22" s="183"/>
      <c r="K22" s="66"/>
      <c r="L22" s="188" t="s">
        <v>114</v>
      </c>
      <c r="M22" s="188"/>
      <c r="N22" s="67"/>
      <c r="O22" s="182" t="s">
        <v>123</v>
      </c>
      <c r="P22" s="183"/>
    </row>
    <row r="23" spans="1:16" ht="46.05" customHeight="1" x14ac:dyDescent="0.3">
      <c r="K23" s="66"/>
      <c r="L23" s="182" t="s">
        <v>115</v>
      </c>
      <c r="M23" s="183"/>
      <c r="N23" s="66"/>
      <c r="O23" s="182" t="s">
        <v>124</v>
      </c>
      <c r="P23" s="183"/>
    </row>
    <row r="24" spans="1:16" ht="46.05" customHeight="1" x14ac:dyDescent="0.3">
      <c r="L24" s="182" t="s">
        <v>116</v>
      </c>
      <c r="M24" s="183"/>
      <c r="N24" s="66"/>
    </row>
    <row r="25" spans="1:16" ht="46.05" customHeight="1" thickBot="1" x14ac:dyDescent="0.35"/>
    <row r="26" spans="1:16" ht="29.4" thickBot="1" x14ac:dyDescent="0.35">
      <c r="A26" s="191" t="s">
        <v>68</v>
      </c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3"/>
    </row>
    <row r="27" spans="1:16" ht="127.95" customHeight="1" thickBot="1" x14ac:dyDescent="0.35">
      <c r="A27" s="194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6"/>
    </row>
    <row r="28" spans="1:16" thickBot="1" x14ac:dyDescent="0.35"/>
    <row r="29" spans="1:16" ht="29.4" thickBot="1" x14ac:dyDescent="0.35">
      <c r="A29" s="191" t="s">
        <v>69</v>
      </c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3"/>
    </row>
    <row r="30" spans="1:16" ht="127.95" customHeight="1" thickBot="1" x14ac:dyDescent="0.35">
      <c r="A30" s="197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9"/>
    </row>
    <row r="31" spans="1:16" ht="14.4" x14ac:dyDescent="0.3"/>
    <row r="32" spans="1:16" ht="14.4" x14ac:dyDescent="0.3"/>
  </sheetData>
  <mergeCells count="48">
    <mergeCell ref="B1:E1"/>
    <mergeCell ref="O1:P1"/>
    <mergeCell ref="A2:P2"/>
    <mergeCell ref="I4:P5"/>
    <mergeCell ref="B7:F8"/>
    <mergeCell ref="I7:P8"/>
    <mergeCell ref="B9:F9"/>
    <mergeCell ref="I9:P9"/>
    <mergeCell ref="B10:F10"/>
    <mergeCell ref="I10:P10"/>
    <mergeCell ref="B11:F11"/>
    <mergeCell ref="I11:P11"/>
    <mergeCell ref="I12:P13"/>
    <mergeCell ref="B14:F15"/>
    <mergeCell ref="I14:P15"/>
    <mergeCell ref="B16:F16"/>
    <mergeCell ref="I16:J16"/>
    <mergeCell ref="L16:M16"/>
    <mergeCell ref="O16:P16"/>
    <mergeCell ref="B17:F17"/>
    <mergeCell ref="I17:J17"/>
    <mergeCell ref="L17:M17"/>
    <mergeCell ref="O17:P17"/>
    <mergeCell ref="B18:F18"/>
    <mergeCell ref="I18:J18"/>
    <mergeCell ref="L18:M18"/>
    <mergeCell ref="O18:P18"/>
    <mergeCell ref="B19:F19"/>
    <mergeCell ref="I19:J19"/>
    <mergeCell ref="L19:M19"/>
    <mergeCell ref="O19:P19"/>
    <mergeCell ref="B20:F20"/>
    <mergeCell ref="I20:J20"/>
    <mergeCell ref="L20:M20"/>
    <mergeCell ref="O20:P20"/>
    <mergeCell ref="I21:J21"/>
    <mergeCell ref="L21:M21"/>
    <mergeCell ref="O21:P21"/>
    <mergeCell ref="I22:J22"/>
    <mergeCell ref="L22:M22"/>
    <mergeCell ref="O22:P22"/>
    <mergeCell ref="A30:P30"/>
    <mergeCell ref="L23:M23"/>
    <mergeCell ref="O23:P23"/>
    <mergeCell ref="L24:M24"/>
    <mergeCell ref="A26:P26"/>
    <mergeCell ref="A27:P27"/>
    <mergeCell ref="A29:P29"/>
  </mergeCells>
  <pageMargins left="0.7" right="0.7" top="0.75" bottom="0.75" header="0.3" footer="0.3"/>
  <pageSetup scale="42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7"/>
  <sheetViews>
    <sheetView zoomScale="90" zoomScaleNormal="90" workbookViewId="0">
      <selection activeCell="C26" sqref="C26"/>
    </sheetView>
  </sheetViews>
  <sheetFormatPr baseColWidth="10" defaultColWidth="10.77734375" defaultRowHeight="14.4" x14ac:dyDescent="0.3"/>
  <cols>
    <col min="1" max="1" width="10.77734375" style="2"/>
    <col min="2" max="2" width="17.109375" style="2" customWidth="1"/>
    <col min="3" max="3" width="12.6640625" style="2" customWidth="1"/>
    <col min="4" max="4" width="10.77734375" style="2"/>
    <col min="5" max="5" width="17.77734375" style="2" bestFit="1" customWidth="1"/>
    <col min="6" max="6" width="23" style="2" customWidth="1"/>
    <col min="7" max="7" width="14.109375" style="2" customWidth="1"/>
    <col min="8" max="8" width="17.77734375" style="2" customWidth="1"/>
    <col min="9" max="9" width="18.109375" style="2" customWidth="1"/>
    <col min="10" max="10" width="12.109375" style="2" customWidth="1"/>
    <col min="11" max="12" width="14.33203125" style="2" customWidth="1"/>
    <col min="13" max="13" width="16.109375" style="2" customWidth="1"/>
    <col min="14" max="15" width="10.77734375" style="2"/>
    <col min="16" max="16" width="22" style="2" bestFit="1" customWidth="1"/>
    <col min="17" max="16384" width="10.77734375" style="2"/>
  </cols>
  <sheetData>
    <row r="1" spans="1:17" ht="48" thickBot="1" x14ac:dyDescent="0.35">
      <c r="A1" s="144" t="s">
        <v>92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6"/>
    </row>
    <row r="3" spans="1:17" ht="15" thickBot="1" x14ac:dyDescent="0.35">
      <c r="P3" s="2" t="s">
        <v>130</v>
      </c>
    </row>
    <row r="4" spans="1:17" ht="25.05" customHeight="1" thickBot="1" x14ac:dyDescent="0.35">
      <c r="B4" s="227" t="s">
        <v>128</v>
      </c>
      <c r="C4" s="228"/>
      <c r="E4" s="229" t="s">
        <v>129</v>
      </c>
      <c r="F4" s="230"/>
      <c r="H4" s="229" t="s">
        <v>22</v>
      </c>
      <c r="I4" s="230"/>
      <c r="J4" s="3" t="s">
        <v>23</v>
      </c>
    </row>
    <row r="5" spans="1:17" ht="24" thickBot="1" x14ac:dyDescent="0.35">
      <c r="B5" s="135" t="s">
        <v>127</v>
      </c>
      <c r="C5" s="137">
        <f>SUM(DOMINGO!C5,LUNES!C5,MARTES!C5,MIÉRCOLES!C5,JUEVES!C5,VIERNES!C5,SÁBADO!C5)</f>
        <v>13136</v>
      </c>
      <c r="E5" s="21" t="s">
        <v>55</v>
      </c>
      <c r="F5" s="138">
        <f>SUM(DOMINGO!F5,LUNES!F5,MARTES!F5,MIÉRCOLES!F5,JUEVES!F5,VIERNES!F5,SÁBADO!F5)</f>
        <v>32</v>
      </c>
      <c r="H5" s="4" t="s">
        <v>3</v>
      </c>
      <c r="I5" s="99">
        <v>0.15</v>
      </c>
      <c r="J5" s="100">
        <f>IF(C7/8100&lt;1,1,C7/8100)</f>
        <v>1</v>
      </c>
      <c r="L5" s="140" t="s">
        <v>57</v>
      </c>
      <c r="M5" s="141"/>
      <c r="P5" s="16" t="s">
        <v>2</v>
      </c>
    </row>
    <row r="6" spans="1:17" ht="47.4" thickBot="1" x14ac:dyDescent="0.35">
      <c r="B6" s="135" t="s">
        <v>17</v>
      </c>
      <c r="C6" s="137">
        <f>SUM(DOMINGO!C6,LUNES!C6,MARTES!C6,MIÉRCOLES!C6,JUEVES!C6,VIERNES!C6,SÁBADO!C6)</f>
        <v>11165.599999999999</v>
      </c>
      <c r="E6" s="5" t="s">
        <v>20</v>
      </c>
      <c r="F6" s="97">
        <v>0.16</v>
      </c>
      <c r="H6" s="22" t="s">
        <v>4</v>
      </c>
      <c r="I6" s="101">
        <v>0.05</v>
      </c>
      <c r="J6" s="100">
        <f>IF(+C8*I6&lt;1,1,C8*I6)</f>
        <v>1</v>
      </c>
      <c r="L6" s="4" t="s">
        <v>131</v>
      </c>
      <c r="M6" s="106">
        <v>22519</v>
      </c>
      <c r="P6" s="107">
        <v>7500</v>
      </c>
    </row>
    <row r="7" spans="1:17" ht="31.8" thickBot="1" x14ac:dyDescent="0.35">
      <c r="B7" s="136" t="s">
        <v>3</v>
      </c>
      <c r="C7" s="137">
        <f>SUM(DOMINGO!C7,LUNES!C7,MARTES!C7,MIÉRCOLES!C7,JUEVES!C7,VIERNES!C7,SÁBADO!C7)</f>
        <v>1970.3999999999999</v>
      </c>
      <c r="E7" s="5" t="s">
        <v>21</v>
      </c>
      <c r="F7" s="94">
        <f>+F5*F6</f>
        <v>5.12</v>
      </c>
      <c r="H7" s="23" t="s">
        <v>5</v>
      </c>
      <c r="I7" s="102">
        <v>0.3</v>
      </c>
      <c r="J7" s="103">
        <f>IF(C8*I7&lt;1,1,C8*I7)</f>
        <v>1</v>
      </c>
      <c r="P7" s="17" t="s">
        <v>6</v>
      </c>
    </row>
    <row r="8" spans="1:17" ht="31.8" thickBot="1" x14ac:dyDescent="0.35">
      <c r="B8" s="136" t="s">
        <v>18</v>
      </c>
      <c r="C8" s="137">
        <f>+C5/P6</f>
        <v>1.7514666666666667</v>
      </c>
      <c r="E8" s="25" t="s">
        <v>83</v>
      </c>
      <c r="F8" s="98">
        <f>+C5*1.1</f>
        <v>14449.6</v>
      </c>
      <c r="P8" s="108">
        <v>4617</v>
      </c>
    </row>
    <row r="10" spans="1:17" ht="15" thickBot="1" x14ac:dyDescent="0.35"/>
    <row r="11" spans="1:17" ht="47.4" thickBot="1" x14ac:dyDescent="0.35">
      <c r="B11" s="163" t="s">
        <v>33</v>
      </c>
      <c r="C11" s="164"/>
      <c r="D11" s="7" t="s">
        <v>34</v>
      </c>
      <c r="E11" s="7" t="s">
        <v>35</v>
      </c>
      <c r="F11" s="8" t="s">
        <v>58</v>
      </c>
      <c r="G11" s="8" t="s">
        <v>36</v>
      </c>
      <c r="H11" s="8" t="s">
        <v>37</v>
      </c>
      <c r="I11" s="9" t="s">
        <v>38</v>
      </c>
    </row>
    <row r="12" spans="1:17" ht="21.6" thickBot="1" x14ac:dyDescent="0.35">
      <c r="B12" s="165" t="s">
        <v>93</v>
      </c>
      <c r="C12" s="166"/>
      <c r="D12" s="132">
        <v>3.5</v>
      </c>
      <c r="E12" s="72">
        <f>($C$5/$D$20)*D12</f>
        <v>1876.5714285714284</v>
      </c>
      <c r="F12" s="74">
        <f>IF($C$6&gt;0,MAX(($J$5/$D$20)*D12,1),0)</f>
        <v>1</v>
      </c>
      <c r="G12" s="123"/>
      <c r="H12" s="74">
        <f>IF(D12&gt;0,MAX(($J$6/$D$20)*D12,1),0)</f>
        <v>1</v>
      </c>
      <c r="I12" s="75">
        <f>IF(D12&gt;0,MAX(($J$7/$D$20)*D12,1),0)</f>
        <v>1</v>
      </c>
    </row>
    <row r="13" spans="1:17" ht="21.6" thickBot="1" x14ac:dyDescent="0.35">
      <c r="B13" s="167" t="s">
        <v>94</v>
      </c>
      <c r="C13" s="168"/>
      <c r="D13" s="71">
        <v>7</v>
      </c>
      <c r="E13" s="72">
        <f t="shared" ref="E13:E19" si="0">($C$5/$D$20)*D13</f>
        <v>3753.1428571428569</v>
      </c>
      <c r="F13" s="74">
        <f>IF($C$6&gt;0,MAX(($J$5/$D$20)*D13,1),0)</f>
        <v>1</v>
      </c>
      <c r="G13" s="124"/>
      <c r="H13" s="74">
        <f t="shared" ref="H13:H19" si="1">IF(D13&gt;0,MAX(($J$6/$D$20)*D13,1),0)</f>
        <v>1</v>
      </c>
      <c r="I13" s="75">
        <f t="shared" ref="I13:I19" si="2">IF(D13&gt;0,MAX(($J$7/$D$20)*D13,1),0)</f>
        <v>1</v>
      </c>
    </row>
    <row r="14" spans="1:17" ht="21.6" thickBot="1" x14ac:dyDescent="0.35">
      <c r="B14" s="167" t="s">
        <v>95</v>
      </c>
      <c r="C14" s="168"/>
      <c r="D14" s="71">
        <v>7</v>
      </c>
      <c r="E14" s="72">
        <f t="shared" si="0"/>
        <v>3753.1428571428569</v>
      </c>
      <c r="F14" s="74">
        <f t="shared" ref="F14:F19" si="3">IF($C$6&gt;0,MAX(($J$5/$D$20)*D14,1),0)</f>
        <v>1</v>
      </c>
      <c r="G14" s="124"/>
      <c r="H14" s="74">
        <f t="shared" si="1"/>
        <v>1</v>
      </c>
      <c r="I14" s="75">
        <f t="shared" si="2"/>
        <v>1</v>
      </c>
    </row>
    <row r="15" spans="1:17" ht="21.6" thickBot="1" x14ac:dyDescent="0.35">
      <c r="B15" s="167" t="s">
        <v>96</v>
      </c>
      <c r="C15" s="168"/>
      <c r="D15" s="71">
        <v>7</v>
      </c>
      <c r="E15" s="72">
        <f t="shared" si="0"/>
        <v>3753.1428571428569</v>
      </c>
      <c r="F15" s="74">
        <f t="shared" si="3"/>
        <v>1</v>
      </c>
      <c r="G15" s="124"/>
      <c r="H15" s="74">
        <f t="shared" si="1"/>
        <v>1</v>
      </c>
      <c r="I15" s="75">
        <f t="shared" si="2"/>
        <v>1</v>
      </c>
    </row>
    <row r="16" spans="1:17" ht="21.6" thickBot="1" x14ac:dyDescent="0.35">
      <c r="B16" s="167"/>
      <c r="C16" s="168"/>
      <c r="D16" s="71"/>
      <c r="E16" s="72">
        <f t="shared" si="0"/>
        <v>0</v>
      </c>
      <c r="F16" s="74">
        <f t="shared" si="3"/>
        <v>1</v>
      </c>
      <c r="G16" s="124"/>
      <c r="H16" s="74">
        <f t="shared" si="1"/>
        <v>0</v>
      </c>
      <c r="I16" s="75">
        <f t="shared" si="2"/>
        <v>0</v>
      </c>
    </row>
    <row r="17" spans="1:15" ht="21.6" thickBot="1" x14ac:dyDescent="0.35">
      <c r="B17" s="167"/>
      <c r="C17" s="168"/>
      <c r="D17" s="71"/>
      <c r="E17" s="72">
        <f t="shared" si="0"/>
        <v>0</v>
      </c>
      <c r="F17" s="74">
        <f t="shared" si="3"/>
        <v>1</v>
      </c>
      <c r="G17" s="124"/>
      <c r="H17" s="74">
        <f t="shared" si="1"/>
        <v>0</v>
      </c>
      <c r="I17" s="75">
        <f t="shared" si="2"/>
        <v>0</v>
      </c>
    </row>
    <row r="18" spans="1:15" ht="21.6" thickBot="1" x14ac:dyDescent="0.35">
      <c r="B18" s="170"/>
      <c r="C18" s="171"/>
      <c r="D18" s="10"/>
      <c r="E18" s="72">
        <f t="shared" si="0"/>
        <v>0</v>
      </c>
      <c r="F18" s="74">
        <f t="shared" si="3"/>
        <v>1</v>
      </c>
      <c r="G18" s="124"/>
      <c r="H18" s="74">
        <f t="shared" si="1"/>
        <v>0</v>
      </c>
      <c r="I18" s="75">
        <f t="shared" si="2"/>
        <v>0</v>
      </c>
    </row>
    <row r="19" spans="1:15" ht="21.6" thickBot="1" x14ac:dyDescent="0.35">
      <c r="B19" s="170"/>
      <c r="C19" s="171"/>
      <c r="D19" s="10"/>
      <c r="E19" s="72">
        <f t="shared" si="0"/>
        <v>0</v>
      </c>
      <c r="F19" s="74">
        <f t="shared" si="3"/>
        <v>1</v>
      </c>
      <c r="G19" s="124"/>
      <c r="H19" s="74">
        <f t="shared" si="1"/>
        <v>0</v>
      </c>
      <c r="I19" s="75">
        <f t="shared" si="2"/>
        <v>0</v>
      </c>
    </row>
    <row r="20" spans="1:15" ht="21.6" thickBot="1" x14ac:dyDescent="0.35">
      <c r="B20" s="174" t="s">
        <v>0</v>
      </c>
      <c r="C20" s="175" t="s">
        <v>0</v>
      </c>
      <c r="D20" s="84">
        <f>+SUM(D12:D19)</f>
        <v>24.5</v>
      </c>
      <c r="E20" s="80">
        <f>SUM(E12:E19)</f>
        <v>13135.999999999998</v>
      </c>
      <c r="F20" s="81">
        <f>SUM(F12:F19)</f>
        <v>8</v>
      </c>
      <c r="G20" s="81">
        <f>SUM(G12:G19)</f>
        <v>0</v>
      </c>
      <c r="H20" s="82">
        <f>+J1</f>
        <v>0</v>
      </c>
      <c r="I20" s="83">
        <f>+J2</f>
        <v>0</v>
      </c>
    </row>
    <row r="24" spans="1:15" ht="15" thickBot="1" x14ac:dyDescent="0.35"/>
    <row r="25" spans="1:15" ht="31.8" thickBot="1" x14ac:dyDescent="0.35">
      <c r="A25" s="27"/>
      <c r="B25" s="27"/>
      <c r="C25" s="11" t="s">
        <v>41</v>
      </c>
      <c r="D25" s="12" t="s">
        <v>40</v>
      </c>
      <c r="E25" s="11" t="s">
        <v>42</v>
      </c>
      <c r="F25" s="12" t="s">
        <v>43</v>
      </c>
      <c r="G25" s="11" t="s">
        <v>44</v>
      </c>
      <c r="H25" s="13" t="s">
        <v>45</v>
      </c>
      <c r="I25" s="13" t="s">
        <v>8</v>
      </c>
      <c r="J25" s="13" t="s">
        <v>10</v>
      </c>
      <c r="K25" s="13" t="s">
        <v>9</v>
      </c>
      <c r="L25" s="31" t="s">
        <v>1</v>
      </c>
      <c r="M25" s="31"/>
      <c r="N25" s="31" t="s">
        <v>11</v>
      </c>
      <c r="O25" s="27"/>
    </row>
    <row r="26" spans="1:15" ht="21.6" thickBot="1" x14ac:dyDescent="0.35">
      <c r="A26" s="158" t="s">
        <v>46</v>
      </c>
      <c r="B26" s="159" t="s">
        <v>0</v>
      </c>
      <c r="C26" s="115">
        <f>+C5</f>
        <v>13136</v>
      </c>
      <c r="D26" s="116"/>
      <c r="E26" s="115" t="str">
        <f>+B4</f>
        <v>SEMANAL</v>
      </c>
      <c r="F26" s="116"/>
      <c r="G26" s="125">
        <f>D26/C26</f>
        <v>0</v>
      </c>
      <c r="H26" s="126">
        <f>G26-F6</f>
        <v>-0.16</v>
      </c>
      <c r="I26" s="127"/>
      <c r="J26" s="127"/>
      <c r="K26" s="131" t="e">
        <f>O37/F26</f>
        <v>#DIV/0!</v>
      </c>
      <c r="L26" s="36"/>
      <c r="M26" s="36"/>
      <c r="N26" s="36"/>
      <c r="O26" s="27"/>
    </row>
    <row r="27" spans="1:15" ht="15" thickBot="1" x14ac:dyDescent="0.3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ht="63" thickBot="1" x14ac:dyDescent="0.35">
      <c r="A28" s="163" t="s">
        <v>47</v>
      </c>
      <c r="B28" s="164"/>
      <c r="C28" s="14" t="s">
        <v>34</v>
      </c>
      <c r="D28" s="152" t="s">
        <v>48</v>
      </c>
      <c r="E28" s="153"/>
      <c r="F28" s="154" t="s">
        <v>49</v>
      </c>
      <c r="G28" s="155"/>
      <c r="H28" s="15" t="s">
        <v>50</v>
      </c>
      <c r="I28" s="15" t="s">
        <v>51</v>
      </c>
      <c r="J28" s="15" t="s">
        <v>52</v>
      </c>
      <c r="K28" s="15" t="s">
        <v>100</v>
      </c>
      <c r="L28" s="15" t="s">
        <v>99</v>
      </c>
      <c r="M28" s="15" t="s">
        <v>86</v>
      </c>
      <c r="N28" s="15" t="s">
        <v>53</v>
      </c>
      <c r="O28" s="41" t="s">
        <v>54</v>
      </c>
    </row>
    <row r="29" spans="1:15" ht="21.6" thickBot="1" x14ac:dyDescent="0.35">
      <c r="A29" s="179" t="str">
        <f>B12</f>
        <v>ELIAS</v>
      </c>
      <c r="B29" s="180"/>
      <c r="C29" s="133">
        <f>D12</f>
        <v>3.5</v>
      </c>
      <c r="D29" s="160"/>
      <c r="E29" s="160"/>
      <c r="F29" s="156"/>
      <c r="G29" s="157"/>
      <c r="H29" s="122" t="str">
        <f>IFERROR(F29/D29,"0")</f>
        <v>0</v>
      </c>
      <c r="I29" s="110"/>
      <c r="J29" s="110"/>
      <c r="K29" s="110"/>
      <c r="L29" s="120"/>
      <c r="M29" s="122" t="str">
        <f>IFERROR(L29/K29,"0")</f>
        <v>0</v>
      </c>
      <c r="N29" s="110"/>
      <c r="O29" s="111"/>
    </row>
    <row r="30" spans="1:15" ht="21.6" thickBot="1" x14ac:dyDescent="0.35">
      <c r="A30" s="179" t="str">
        <f t="shared" ref="A30:A36" si="4">B13</f>
        <v>CATALINA</v>
      </c>
      <c r="B30" s="180"/>
      <c r="C30" s="133">
        <f t="shared" ref="C30:C36" si="5">D13</f>
        <v>7</v>
      </c>
      <c r="D30" s="147"/>
      <c r="E30" s="147"/>
      <c r="F30" s="148"/>
      <c r="G30" s="149"/>
      <c r="H30" s="122" t="str">
        <f t="shared" ref="H30:H37" si="6">IFERROR(F30/D30,"0")</f>
        <v>0</v>
      </c>
      <c r="I30" s="113"/>
      <c r="J30" s="113"/>
      <c r="K30" s="113"/>
      <c r="L30" s="121"/>
      <c r="M30" s="122" t="str">
        <f t="shared" ref="M30:M37" si="7">IFERROR(L30/K30,"0")</f>
        <v>0</v>
      </c>
      <c r="N30" s="113"/>
      <c r="O30" s="114"/>
    </row>
    <row r="31" spans="1:15" ht="21.6" thickBot="1" x14ac:dyDescent="0.35">
      <c r="A31" s="179" t="str">
        <f t="shared" si="4"/>
        <v>VICTOR</v>
      </c>
      <c r="B31" s="180"/>
      <c r="C31" s="133">
        <f t="shared" si="5"/>
        <v>7</v>
      </c>
      <c r="D31" s="147"/>
      <c r="E31" s="147"/>
      <c r="F31" s="148"/>
      <c r="G31" s="149"/>
      <c r="H31" s="122" t="str">
        <f t="shared" si="6"/>
        <v>0</v>
      </c>
      <c r="I31" s="113"/>
      <c r="J31" s="113"/>
      <c r="K31" s="113"/>
      <c r="L31" s="121"/>
      <c r="M31" s="122" t="str">
        <f t="shared" si="7"/>
        <v>0</v>
      </c>
      <c r="N31" s="113"/>
      <c r="O31" s="114"/>
    </row>
    <row r="32" spans="1:15" ht="21.6" thickBot="1" x14ac:dyDescent="0.35">
      <c r="A32" s="179" t="str">
        <f t="shared" si="4"/>
        <v>JIMENA</v>
      </c>
      <c r="B32" s="180"/>
      <c r="C32" s="133">
        <f t="shared" si="5"/>
        <v>7</v>
      </c>
      <c r="D32" s="147"/>
      <c r="E32" s="147"/>
      <c r="F32" s="148"/>
      <c r="G32" s="149"/>
      <c r="H32" s="122" t="str">
        <f t="shared" si="6"/>
        <v>0</v>
      </c>
      <c r="I32" s="113"/>
      <c r="J32" s="113"/>
      <c r="K32" s="113"/>
      <c r="L32" s="121"/>
      <c r="M32" s="122" t="str">
        <f t="shared" si="7"/>
        <v>0</v>
      </c>
      <c r="N32" s="113"/>
      <c r="O32" s="114"/>
    </row>
    <row r="33" spans="1:15" ht="21.6" thickBot="1" x14ac:dyDescent="0.35">
      <c r="A33" s="179">
        <f t="shared" si="4"/>
        <v>0</v>
      </c>
      <c r="B33" s="180"/>
      <c r="C33" s="133">
        <f t="shared" si="5"/>
        <v>0</v>
      </c>
      <c r="D33" s="147"/>
      <c r="E33" s="147"/>
      <c r="F33" s="148"/>
      <c r="G33" s="149"/>
      <c r="H33" s="122" t="str">
        <f t="shared" si="6"/>
        <v>0</v>
      </c>
      <c r="I33" s="113"/>
      <c r="J33" s="113"/>
      <c r="K33" s="113"/>
      <c r="L33" s="121"/>
      <c r="M33" s="122" t="str">
        <f t="shared" si="7"/>
        <v>0</v>
      </c>
      <c r="N33" s="113"/>
      <c r="O33" s="114"/>
    </row>
    <row r="34" spans="1:15" ht="21.6" thickBot="1" x14ac:dyDescent="0.35">
      <c r="A34" s="179">
        <f t="shared" si="4"/>
        <v>0</v>
      </c>
      <c r="B34" s="180"/>
      <c r="C34" s="133">
        <f t="shared" si="5"/>
        <v>0</v>
      </c>
      <c r="D34" s="147"/>
      <c r="E34" s="147"/>
      <c r="F34" s="148"/>
      <c r="G34" s="149"/>
      <c r="H34" s="122" t="str">
        <f t="shared" si="6"/>
        <v>0</v>
      </c>
      <c r="I34" s="113"/>
      <c r="J34" s="113"/>
      <c r="K34" s="113"/>
      <c r="L34" s="121"/>
      <c r="M34" s="122" t="str">
        <f t="shared" si="7"/>
        <v>0</v>
      </c>
      <c r="N34" s="113"/>
      <c r="O34" s="114"/>
    </row>
    <row r="35" spans="1:15" ht="21.6" thickBot="1" x14ac:dyDescent="0.35">
      <c r="A35" s="179">
        <f t="shared" si="4"/>
        <v>0</v>
      </c>
      <c r="B35" s="180"/>
      <c r="C35" s="133">
        <f t="shared" si="5"/>
        <v>0</v>
      </c>
      <c r="D35" s="147"/>
      <c r="E35" s="147"/>
      <c r="F35" s="148"/>
      <c r="G35" s="149"/>
      <c r="H35" s="122" t="str">
        <f t="shared" si="6"/>
        <v>0</v>
      </c>
      <c r="I35" s="113"/>
      <c r="J35" s="113"/>
      <c r="K35" s="113"/>
      <c r="L35" s="121"/>
      <c r="M35" s="122" t="str">
        <f t="shared" si="7"/>
        <v>0</v>
      </c>
      <c r="N35" s="113"/>
      <c r="O35" s="114"/>
    </row>
    <row r="36" spans="1:15" ht="21" x14ac:dyDescent="0.3">
      <c r="A36" s="179">
        <f t="shared" si="4"/>
        <v>0</v>
      </c>
      <c r="B36" s="180"/>
      <c r="C36" s="133">
        <f t="shared" si="5"/>
        <v>0</v>
      </c>
      <c r="D36" s="147"/>
      <c r="E36" s="147"/>
      <c r="F36" s="148"/>
      <c r="G36" s="149"/>
      <c r="H36" s="122" t="str">
        <f t="shared" si="6"/>
        <v>0</v>
      </c>
      <c r="I36" s="113"/>
      <c r="J36" s="113"/>
      <c r="K36" s="113"/>
      <c r="L36" s="121"/>
      <c r="M36" s="122" t="str">
        <f t="shared" si="7"/>
        <v>0</v>
      </c>
      <c r="N36" s="113"/>
      <c r="O36" s="114"/>
    </row>
    <row r="37" spans="1:15" ht="21" x14ac:dyDescent="0.3">
      <c r="A37" s="150" t="s">
        <v>0</v>
      </c>
      <c r="B37" s="151"/>
      <c r="C37" s="112">
        <f>SUM(C29:C36)</f>
        <v>24.5</v>
      </c>
      <c r="D37" s="178">
        <f t="shared" ref="D37:G37" si="8">SUM(D29:D36)</f>
        <v>0</v>
      </c>
      <c r="E37" s="178">
        <f t="shared" si="8"/>
        <v>0</v>
      </c>
      <c r="F37" s="176">
        <f t="shared" si="8"/>
        <v>0</v>
      </c>
      <c r="G37" s="177">
        <f t="shared" si="8"/>
        <v>0</v>
      </c>
      <c r="H37" s="122" t="str">
        <f t="shared" si="6"/>
        <v>0</v>
      </c>
      <c r="I37" s="128">
        <f t="shared" ref="I37:L37" si="9">SUM(I29:I36)</f>
        <v>0</v>
      </c>
      <c r="J37" s="128">
        <f t="shared" si="9"/>
        <v>0</v>
      </c>
      <c r="K37" s="128">
        <f t="shared" si="9"/>
        <v>0</v>
      </c>
      <c r="L37" s="129">
        <f t="shared" si="9"/>
        <v>0</v>
      </c>
      <c r="M37" s="122" t="str">
        <f t="shared" si="7"/>
        <v>0</v>
      </c>
      <c r="N37" s="128">
        <f t="shared" ref="N37:O37" si="10">SUM(N29:N36)</f>
        <v>0</v>
      </c>
      <c r="O37" s="130">
        <f t="shared" si="10"/>
        <v>0</v>
      </c>
    </row>
  </sheetData>
  <mergeCells count="46">
    <mergeCell ref="A1:Q1"/>
    <mergeCell ref="B4:C4"/>
    <mergeCell ref="E4:F4"/>
    <mergeCell ref="H4:I4"/>
    <mergeCell ref="B11:C11"/>
    <mergeCell ref="B17:C17"/>
    <mergeCell ref="B18:C18"/>
    <mergeCell ref="B19:C19"/>
    <mergeCell ref="B20:C20"/>
    <mergeCell ref="L5:M5"/>
    <mergeCell ref="B12:C12"/>
    <mergeCell ref="B13:C13"/>
    <mergeCell ref="B14:C14"/>
    <mergeCell ref="B15:C15"/>
    <mergeCell ref="B16:C16"/>
    <mergeCell ref="A26:B26"/>
    <mergeCell ref="A28:B28"/>
    <mergeCell ref="D28:E28"/>
    <mergeCell ref="F28:G28"/>
    <mergeCell ref="A29:B29"/>
    <mergeCell ref="D29:E29"/>
    <mergeCell ref="F29:G29"/>
    <mergeCell ref="A30:B30"/>
    <mergeCell ref="D30:E30"/>
    <mergeCell ref="F30:G30"/>
    <mergeCell ref="A31:B31"/>
    <mergeCell ref="D31:E31"/>
    <mergeCell ref="F31:G31"/>
    <mergeCell ref="A32:B32"/>
    <mergeCell ref="D32:E32"/>
    <mergeCell ref="F32:G32"/>
    <mergeCell ref="A33:B33"/>
    <mergeCell ref="D33:E33"/>
    <mergeCell ref="F33:G33"/>
    <mergeCell ref="A34:B34"/>
    <mergeCell ref="D34:E34"/>
    <mergeCell ref="F34:G34"/>
    <mergeCell ref="A35:B35"/>
    <mergeCell ref="D35:E35"/>
    <mergeCell ref="F35:G35"/>
    <mergeCell ref="A36:B36"/>
    <mergeCell ref="D36:E36"/>
    <mergeCell ref="F36:G36"/>
    <mergeCell ref="A37:B37"/>
    <mergeCell ref="D37:E37"/>
    <mergeCell ref="F37:G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7</vt:i4>
      </vt:variant>
    </vt:vector>
  </HeadingPairs>
  <TitlesOfParts>
    <vt:vector size="22" baseType="lpstr">
      <vt:lpstr>DOMINGO</vt:lpstr>
      <vt:lpstr>PLAN.ACCIÓN_D</vt:lpstr>
      <vt:lpstr>LUNES</vt:lpstr>
      <vt:lpstr>PLAN.ACCIÓN_L</vt:lpstr>
      <vt:lpstr>MARTES</vt:lpstr>
      <vt:lpstr>PLAN.ACCIÓN_MA</vt:lpstr>
      <vt:lpstr>MIÉRCOLES</vt:lpstr>
      <vt:lpstr>PLAN.ACCIÓN_MI</vt:lpstr>
      <vt:lpstr>JUEVES</vt:lpstr>
      <vt:lpstr>PLAN.ACCIÓN_J</vt:lpstr>
      <vt:lpstr>VIERNES</vt:lpstr>
      <vt:lpstr>PLAN.ACCIÓN_V</vt:lpstr>
      <vt:lpstr>SÁBADO</vt:lpstr>
      <vt:lpstr>PLAN.ACCIÓN_S</vt:lpstr>
      <vt:lpstr>SEMANAL</vt:lpstr>
      <vt:lpstr>DOMINGO!Área_de_impresión</vt:lpstr>
      <vt:lpstr>JUEVES!Área_de_impresión</vt:lpstr>
      <vt:lpstr>LUNES!Área_de_impresión</vt:lpstr>
      <vt:lpstr>MARTES!Área_de_impresión</vt:lpstr>
      <vt:lpstr>MIÉRCOLES!Área_de_impresión</vt:lpstr>
      <vt:lpstr>SÁBADO!Área_de_impresión</vt:lpstr>
      <vt:lpstr>VIERNES!Área_de_impresión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 Alessandra</dc:creator>
  <cp:lastModifiedBy>Tellez Esquivel Luis Gerardo</cp:lastModifiedBy>
  <cp:lastPrinted>2026-05-01T15:01:57Z</cp:lastPrinted>
  <dcterms:created xsi:type="dcterms:W3CDTF">2025-07-29T10:23:25Z</dcterms:created>
  <dcterms:modified xsi:type="dcterms:W3CDTF">2026-08-07T21:01:01Z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2025-07-30T11:22:33Z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1d70e86b-5e9e-4acb-9c00-2b54d2c1fef8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10, 3, 0, 1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